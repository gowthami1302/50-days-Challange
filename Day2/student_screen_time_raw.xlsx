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tudent_screen_time_raw" sheetId="1" r:id="rId1"/>
    <sheet name="Data_Cleaning" sheetId="2" r:id="rId2"/>
    <sheet name="povite table" sheetId="5" r:id="rId3"/>
    <sheet name="Charts" sheetId="8" r:id="rId4"/>
  </sheets>
  <calcPr calcId="0"/>
  <pivotCaches>
    <pivotCache cacheId="13" r:id="rId5"/>
    <pivotCache cacheId="16" r:id="rId6"/>
  </pivotCaches>
</workbook>
</file>

<file path=xl/calcChain.xml><?xml version="1.0" encoding="utf-8"?>
<calcChain xmlns="http://schemas.openxmlformats.org/spreadsheetml/2006/main">
  <c r="J196" i="2"/>
  <c r="J197"/>
  <c r="J198"/>
  <c r="J199"/>
  <c r="J200"/>
  <c r="J201"/>
  <c r="J181"/>
  <c r="J182"/>
  <c r="J183"/>
  <c r="J184"/>
  <c r="J185"/>
  <c r="J186"/>
  <c r="J187"/>
  <c r="J188"/>
  <c r="J189"/>
  <c r="J190"/>
  <c r="J191"/>
  <c r="J192"/>
  <c r="J193"/>
  <c r="J194"/>
  <c r="J195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18"/>
  <c r="J119"/>
  <c r="J120"/>
  <c r="J121"/>
  <c r="J122"/>
  <c r="J123"/>
  <c r="J124"/>
  <c r="J125"/>
  <c r="J126"/>
  <c r="J127"/>
  <c r="J128"/>
  <c r="J104"/>
  <c r="J105"/>
  <c r="J106"/>
  <c r="J107"/>
  <c r="J108"/>
  <c r="J109"/>
  <c r="J110"/>
  <c r="J111"/>
  <c r="J112"/>
  <c r="J113"/>
  <c r="J114"/>
  <c r="J115"/>
  <c r="J116"/>
  <c r="J117"/>
  <c r="J89"/>
  <c r="J90"/>
  <c r="J91"/>
  <c r="J92"/>
  <c r="J93"/>
  <c r="J94"/>
  <c r="J95"/>
  <c r="J96"/>
  <c r="J97"/>
  <c r="J98"/>
  <c r="J99"/>
  <c r="J100"/>
  <c r="J101"/>
  <c r="J102"/>
  <c r="J103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3"/>
  <c r="J4"/>
  <c r="J5"/>
  <c r="J6"/>
  <c r="J7"/>
  <c r="J8"/>
  <c r="J9"/>
  <c r="J10"/>
  <c r="J11"/>
  <c r="J12"/>
  <c r="J2"/>
  <c r="G2"/>
  <c r="H189"/>
  <c r="H190"/>
  <c r="H191"/>
  <c r="H192"/>
  <c r="H193"/>
  <c r="H194"/>
  <c r="H195"/>
  <c r="H196"/>
  <c r="H197"/>
  <c r="H198"/>
  <c r="H199"/>
  <c r="H200"/>
  <c r="H201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30"/>
  <c r="H131"/>
  <c r="H132"/>
  <c r="H133"/>
  <c r="H134"/>
  <c r="H135"/>
  <c r="H136"/>
  <c r="H137"/>
  <c r="H138"/>
  <c r="H139"/>
  <c r="H140"/>
  <c r="H141"/>
  <c r="H142"/>
  <c r="H143"/>
  <c r="H144"/>
  <c r="H145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2"/>
  <c r="I186"/>
  <c r="I187"/>
  <c r="I188"/>
  <c r="I189"/>
  <c r="I190"/>
  <c r="I191"/>
  <c r="I192"/>
  <c r="I193"/>
  <c r="I194"/>
  <c r="I195"/>
  <c r="I196"/>
  <c r="I197"/>
  <c r="I198"/>
  <c r="I199"/>
  <c r="I200"/>
  <c r="I201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2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93"/>
  <c r="G94"/>
  <c r="G95"/>
  <c r="G96"/>
  <c r="G97"/>
  <c r="G98"/>
  <c r="G99"/>
  <c r="G100"/>
  <c r="G101"/>
  <c r="G102"/>
  <c r="G103"/>
  <c r="G104"/>
  <c r="G105"/>
  <c r="G106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59"/>
  <c r="G60"/>
  <c r="G61"/>
  <c r="G62"/>
  <c r="G63"/>
  <c r="G64"/>
  <c r="G65"/>
  <c r="G66"/>
  <c r="G67"/>
  <c r="G68"/>
  <c r="G69"/>
  <c r="G44"/>
  <c r="G45"/>
  <c r="G46"/>
  <c r="G47"/>
  <c r="G48"/>
  <c r="G49"/>
  <c r="G50"/>
  <c r="G51"/>
  <c r="G52"/>
  <c r="G53"/>
  <c r="G54"/>
  <c r="G55"/>
  <c r="G56"/>
  <c r="G57"/>
  <c r="G58"/>
  <c r="G32"/>
  <c r="G33"/>
  <c r="G34"/>
  <c r="G35"/>
  <c r="G36"/>
  <c r="G37"/>
  <c r="G38"/>
  <c r="G39"/>
  <c r="G40"/>
  <c r="G41"/>
  <c r="G42"/>
  <c r="G43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"/>
  <c r="G4"/>
  <c r="G5"/>
  <c r="G6"/>
  <c r="G7"/>
</calcChain>
</file>

<file path=xl/sharedStrings.xml><?xml version="1.0" encoding="utf-8"?>
<sst xmlns="http://schemas.openxmlformats.org/spreadsheetml/2006/main" count="46" uniqueCount="32">
  <si>
    <t>Student_ID</t>
  </si>
  <si>
    <t>Age</t>
  </si>
  <si>
    <t>Study_Hours</t>
  </si>
  <si>
    <t>Screen_Time</t>
  </si>
  <si>
    <t>Test_Scores</t>
  </si>
  <si>
    <t>Extra_Curricular_Hours</t>
  </si>
  <si>
    <t>Student ID</t>
  </si>
  <si>
    <t>Study Hours</t>
  </si>
  <si>
    <t>Screen Time (hrs)</t>
  </si>
  <si>
    <t>High Screen Time</t>
  </si>
  <si>
    <t>Screen Time Catageory</t>
  </si>
  <si>
    <t>Age Group</t>
  </si>
  <si>
    <t>Sum of Test_Scores</t>
  </si>
  <si>
    <t>Row Labels</t>
  </si>
  <si>
    <t>0-2 hrs</t>
  </si>
  <si>
    <t>3-4 hrs</t>
  </si>
  <si>
    <t>5-6 hrs</t>
  </si>
  <si>
    <t>Grand Total</t>
  </si>
  <si>
    <t>Average of Test_Scores</t>
  </si>
  <si>
    <t>Values</t>
  </si>
  <si>
    <t>Sum of Extra_Curricular_Hours</t>
  </si>
  <si>
    <t>Count of Student ID</t>
  </si>
  <si>
    <t>Average test scores by screen time category</t>
  </si>
  <si>
    <t>Screen time vs. extracurricular activity trends</t>
  </si>
  <si>
    <t>Age group-wise performance</t>
  </si>
  <si>
    <t>Screen Time Range</t>
  </si>
  <si>
    <t>2-4 hrs</t>
  </si>
  <si>
    <t>4-6 hrs</t>
  </si>
  <si>
    <t>6-8 hrs</t>
  </si>
  <si>
    <t>A scatter plot of Screen Time vs. Test Scores</t>
  </si>
  <si>
    <t>A bar chart comparing average test scores across screen time</t>
  </si>
  <si>
    <t>range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</si>
</sst>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1F1F"/>
      <name val="Google Sans"/>
    </font>
    <font>
      <sz val="11"/>
      <color rgb="FF000099"/>
      <name val="Calibri"/>
      <family val="2"/>
      <scheme val="minor"/>
    </font>
    <font>
      <sz val="11"/>
      <color theme="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2" fontId="0" fillId="0" borderId="0" xfId="0" applyNumberFormat="1"/>
    <xf numFmtId="1" fontId="0" fillId="0" borderId="0" xfId="1" applyNumberFormat="1" applyFont="1"/>
    <xf numFmtId="0" fontId="18" fillId="0" borderId="0" xfId="0" applyFont="1"/>
    <xf numFmtId="1" fontId="18" fillId="0" borderId="0" xfId="1" applyNumberFormat="1" applyFont="1"/>
    <xf numFmtId="2" fontId="18" fillId="0" borderId="0" xfId="0" applyNumberFormat="1" applyFont="1"/>
    <xf numFmtId="0" fontId="0" fillId="0" borderId="0" xfId="0" applyFont="1"/>
    <xf numFmtId="2" fontId="0" fillId="0" borderId="0" xfId="0" applyNumberFormat="1" applyFont="1"/>
    <xf numFmtId="0" fontId="19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0" fillId="34" borderId="0" xfId="0" applyFont="1" applyFill="1" applyAlignment="1">
      <alignment horizontal="left"/>
    </xf>
    <xf numFmtId="0" fontId="20" fillId="34" borderId="0" xfId="0" applyNumberFormat="1" applyFont="1" applyFill="1"/>
    <xf numFmtId="1" fontId="21" fillId="33" borderId="0" xfId="0" applyNumberFormat="1" applyFont="1" applyFill="1" applyAlignment="1">
      <alignment horizontal="left"/>
    </xf>
    <xf numFmtId="0" fontId="21" fillId="33" borderId="0" xfId="0" applyNumberFormat="1" applyFont="1" applyFill="1"/>
    <xf numFmtId="0" fontId="14" fillId="34" borderId="0" xfId="0" applyFont="1" applyFill="1" applyAlignment="1">
      <alignment horizontal="left"/>
    </xf>
    <xf numFmtId="0" fontId="14" fillId="34" borderId="0" xfId="0" applyNumberFormat="1" applyFont="1" applyFill="1"/>
    <xf numFmtId="0" fontId="18" fillId="0" borderId="0" xfId="0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ont>
        <color theme="5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ont>
        <color rgb="FF000099"/>
      </font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000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[student_screen_time_raw.xlsx]Charts!PivotTable6</c:name>
    <c:fmtId val="0"/>
  </c:pivotSource>
  <c:chart>
    <c:title>
      <c:layout/>
    </c:title>
    <c:pivotFmts>
      <c:pivotFmt>
        <c:idx val="0"/>
        <c:spPr>
          <a:solidFill>
            <a:srgbClr val="00B050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</c:spPr>
          <c:cat>
            <c:strRef>
              <c:f>Charts!$A$4:$A$8</c:f>
              <c:strCache>
                <c:ptCount val="4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4"/>
                <c:pt idx="0">
                  <c:v>1965</c:v>
                </c:pt>
                <c:pt idx="1">
                  <c:v>4758.7000000000007</c:v>
                </c:pt>
                <c:pt idx="2">
                  <c:v>5470.1</c:v>
                </c:pt>
                <c:pt idx="3">
                  <c:v>1563.8000000000002</c:v>
                </c:pt>
              </c:numCache>
            </c:numRef>
          </c:val>
        </c:ser>
        <c:axId val="94209920"/>
        <c:axId val="94253824"/>
      </c:barChart>
      <c:catAx>
        <c:axId val="94209920"/>
        <c:scaling>
          <c:orientation val="minMax"/>
        </c:scaling>
        <c:axPos val="b"/>
        <c:tickLblPos val="nextTo"/>
        <c:crossAx val="94253824"/>
        <c:crosses val="autoZero"/>
        <c:auto val="1"/>
        <c:lblAlgn val="ctr"/>
        <c:lblOffset val="100"/>
      </c:catAx>
      <c:valAx>
        <c:axId val="94253824"/>
        <c:scaling>
          <c:orientation val="minMax"/>
        </c:scaling>
        <c:axPos val="l"/>
        <c:majorGridlines/>
        <c:numFmt formatCode="General" sourceLinked="1"/>
        <c:tickLblPos val="nextTo"/>
        <c:crossAx val="942099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layout>
        <c:manualLayout>
          <c:xMode val="edge"/>
          <c:yMode val="edge"/>
          <c:x val="1.8541119860017829E-3"/>
          <c:y val="0"/>
        </c:manualLayout>
      </c:layout>
    </c:title>
    <c:plotArea>
      <c:layout/>
      <c:scatterChart>
        <c:scatterStyle val="lineMarker"/>
        <c:ser>
          <c:idx val="0"/>
          <c:order val="0"/>
          <c:tx>
            <c:strRef>
              <c:f>Data_Cleaning!$E$1</c:f>
              <c:strCache>
                <c:ptCount val="1"/>
                <c:pt idx="0">
                  <c:v>Test_Scores</c:v>
                </c:pt>
              </c:strCache>
            </c:strRef>
          </c:tx>
          <c:spPr>
            <a:ln w="28575">
              <a:noFill/>
            </a:ln>
          </c:spPr>
          <c:xVal>
            <c:numRef>
              <c:f>Data_Cleaning!$D$2:$D$201</c:f>
              <c:numCache>
                <c:formatCode>0.00</c:formatCode>
                <c:ptCount val="200"/>
                <c:pt idx="0">
                  <c:v>2.7</c:v>
                </c:pt>
                <c:pt idx="1">
                  <c:v>4</c:v>
                </c:pt>
                <c:pt idx="2">
                  <c:v>4.3</c:v>
                </c:pt>
                <c:pt idx="3">
                  <c:v>2.8</c:v>
                </c:pt>
                <c:pt idx="4">
                  <c:v>1.8</c:v>
                </c:pt>
                <c:pt idx="5">
                  <c:v>4.4000000000000004</c:v>
                </c:pt>
                <c:pt idx="6">
                  <c:v>6.7</c:v>
                </c:pt>
                <c:pt idx="7">
                  <c:v>4.5999999999999996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3.6</c:v>
                </c:pt>
                <c:pt idx="11">
                  <c:v>5.8</c:v>
                </c:pt>
                <c:pt idx="12">
                  <c:v>0</c:v>
                </c:pt>
                <c:pt idx="13">
                  <c:v>2</c:v>
                </c:pt>
                <c:pt idx="14">
                  <c:v>1.6</c:v>
                </c:pt>
                <c:pt idx="15">
                  <c:v>4.0999999999999996</c:v>
                </c:pt>
                <c:pt idx="16">
                  <c:v>5.6</c:v>
                </c:pt>
                <c:pt idx="17">
                  <c:v>4.4000000000000004</c:v>
                </c:pt>
                <c:pt idx="18">
                  <c:v>3.5</c:v>
                </c:pt>
                <c:pt idx="19">
                  <c:v>4.7</c:v>
                </c:pt>
                <c:pt idx="20">
                  <c:v>4.3</c:v>
                </c:pt>
                <c:pt idx="21">
                  <c:v>5.2</c:v>
                </c:pt>
                <c:pt idx="22">
                  <c:v>6</c:v>
                </c:pt>
                <c:pt idx="23">
                  <c:v>2.6</c:v>
                </c:pt>
                <c:pt idx="24">
                  <c:v>0.5</c:v>
                </c:pt>
                <c:pt idx="25">
                  <c:v>3.5</c:v>
                </c:pt>
                <c:pt idx="26">
                  <c:v>2.5</c:v>
                </c:pt>
                <c:pt idx="27">
                  <c:v>5.2</c:v>
                </c:pt>
                <c:pt idx="28">
                  <c:v>2.9</c:v>
                </c:pt>
                <c:pt idx="29">
                  <c:v>1.2</c:v>
                </c:pt>
                <c:pt idx="30">
                  <c:v>3.1</c:v>
                </c:pt>
                <c:pt idx="31">
                  <c:v>1.8</c:v>
                </c:pt>
                <c:pt idx="32">
                  <c:v>6.4</c:v>
                </c:pt>
                <c:pt idx="33">
                  <c:v>4.7</c:v>
                </c:pt>
                <c:pt idx="34">
                  <c:v>5</c:v>
                </c:pt>
                <c:pt idx="35">
                  <c:v>4.8</c:v>
                </c:pt>
                <c:pt idx="36">
                  <c:v>5.3</c:v>
                </c:pt>
                <c:pt idx="37">
                  <c:v>5.7</c:v>
                </c:pt>
                <c:pt idx="38">
                  <c:v>3.2</c:v>
                </c:pt>
                <c:pt idx="39">
                  <c:v>1.9</c:v>
                </c:pt>
                <c:pt idx="40">
                  <c:v>2.7</c:v>
                </c:pt>
                <c:pt idx="41">
                  <c:v>3.9</c:v>
                </c:pt>
                <c:pt idx="42">
                  <c:v>0.2</c:v>
                </c:pt>
                <c:pt idx="43">
                  <c:v>5.7</c:v>
                </c:pt>
                <c:pt idx="44">
                  <c:v>1.2</c:v>
                </c:pt>
                <c:pt idx="45">
                  <c:v>4.9000000000000004</c:v>
                </c:pt>
                <c:pt idx="46">
                  <c:v>3.7</c:v>
                </c:pt>
                <c:pt idx="47">
                  <c:v>4.4000000000000004</c:v>
                </c:pt>
                <c:pt idx="48">
                  <c:v>3.3</c:v>
                </c:pt>
                <c:pt idx="49">
                  <c:v>4.3</c:v>
                </c:pt>
                <c:pt idx="50">
                  <c:v>3.3</c:v>
                </c:pt>
                <c:pt idx="51">
                  <c:v>3.2</c:v>
                </c:pt>
                <c:pt idx="52">
                  <c:v>2.7</c:v>
                </c:pt>
                <c:pt idx="53">
                  <c:v>0</c:v>
                </c:pt>
                <c:pt idx="54">
                  <c:v>4.5999999999999996</c:v>
                </c:pt>
                <c:pt idx="55">
                  <c:v>4.3</c:v>
                </c:pt>
                <c:pt idx="56">
                  <c:v>2.7</c:v>
                </c:pt>
                <c:pt idx="57">
                  <c:v>3.6</c:v>
                </c:pt>
                <c:pt idx="58">
                  <c:v>2.5</c:v>
                </c:pt>
                <c:pt idx="59">
                  <c:v>3.3</c:v>
                </c:pt>
                <c:pt idx="60">
                  <c:v>2.2000000000000002</c:v>
                </c:pt>
                <c:pt idx="61">
                  <c:v>6.4</c:v>
                </c:pt>
                <c:pt idx="62">
                  <c:v>0</c:v>
                </c:pt>
                <c:pt idx="63">
                  <c:v>2.7</c:v>
                </c:pt>
                <c:pt idx="64">
                  <c:v>2</c:v>
                </c:pt>
                <c:pt idx="65">
                  <c:v>2.8</c:v>
                </c:pt>
                <c:pt idx="66">
                  <c:v>3.3</c:v>
                </c:pt>
                <c:pt idx="67">
                  <c:v>3.9</c:v>
                </c:pt>
                <c:pt idx="68">
                  <c:v>3</c:v>
                </c:pt>
                <c:pt idx="69">
                  <c:v>1.6</c:v>
                </c:pt>
                <c:pt idx="70">
                  <c:v>1.7</c:v>
                </c:pt>
                <c:pt idx="71">
                  <c:v>5</c:v>
                </c:pt>
                <c:pt idx="72">
                  <c:v>3.8</c:v>
                </c:pt>
                <c:pt idx="73">
                  <c:v>5</c:v>
                </c:pt>
                <c:pt idx="74">
                  <c:v>5.2</c:v>
                </c:pt>
                <c:pt idx="75">
                  <c:v>4.2</c:v>
                </c:pt>
                <c:pt idx="76">
                  <c:v>2.2000000000000002</c:v>
                </c:pt>
                <c:pt idx="77">
                  <c:v>4.3</c:v>
                </c:pt>
                <c:pt idx="78">
                  <c:v>6.1</c:v>
                </c:pt>
                <c:pt idx="79">
                  <c:v>3.3</c:v>
                </c:pt>
                <c:pt idx="80">
                  <c:v>4.5</c:v>
                </c:pt>
                <c:pt idx="81">
                  <c:v>4</c:v>
                </c:pt>
                <c:pt idx="82">
                  <c:v>6.1</c:v>
                </c:pt>
                <c:pt idx="83">
                  <c:v>3</c:v>
                </c:pt>
                <c:pt idx="84">
                  <c:v>5.7</c:v>
                </c:pt>
                <c:pt idx="85">
                  <c:v>3.4</c:v>
                </c:pt>
                <c:pt idx="86">
                  <c:v>3</c:v>
                </c:pt>
                <c:pt idx="87">
                  <c:v>4.2</c:v>
                </c:pt>
                <c:pt idx="88">
                  <c:v>4.5</c:v>
                </c:pt>
                <c:pt idx="89">
                  <c:v>6.9</c:v>
                </c:pt>
                <c:pt idx="90">
                  <c:v>4.5</c:v>
                </c:pt>
                <c:pt idx="91">
                  <c:v>4.3</c:v>
                </c:pt>
                <c:pt idx="92">
                  <c:v>6.4</c:v>
                </c:pt>
                <c:pt idx="93">
                  <c:v>4.9000000000000004</c:v>
                </c:pt>
                <c:pt idx="94">
                  <c:v>3</c:v>
                </c:pt>
                <c:pt idx="95">
                  <c:v>6</c:v>
                </c:pt>
                <c:pt idx="96">
                  <c:v>2.9</c:v>
                </c:pt>
                <c:pt idx="97">
                  <c:v>3</c:v>
                </c:pt>
                <c:pt idx="98">
                  <c:v>2.7</c:v>
                </c:pt>
                <c:pt idx="99">
                  <c:v>2.6</c:v>
                </c:pt>
                <c:pt idx="100">
                  <c:v>4.5</c:v>
                </c:pt>
                <c:pt idx="101">
                  <c:v>3.6</c:v>
                </c:pt>
                <c:pt idx="102">
                  <c:v>0</c:v>
                </c:pt>
                <c:pt idx="103">
                  <c:v>3.6</c:v>
                </c:pt>
                <c:pt idx="104">
                  <c:v>3.2</c:v>
                </c:pt>
                <c:pt idx="105">
                  <c:v>5.3</c:v>
                </c:pt>
                <c:pt idx="106">
                  <c:v>3.2</c:v>
                </c:pt>
                <c:pt idx="107">
                  <c:v>7.8</c:v>
                </c:pt>
                <c:pt idx="108">
                  <c:v>6.1</c:v>
                </c:pt>
                <c:pt idx="109">
                  <c:v>3.4</c:v>
                </c:pt>
                <c:pt idx="110">
                  <c:v>5.7</c:v>
                </c:pt>
                <c:pt idx="111">
                  <c:v>0</c:v>
                </c:pt>
                <c:pt idx="112">
                  <c:v>4.4000000000000004</c:v>
                </c:pt>
                <c:pt idx="113">
                  <c:v>5.2</c:v>
                </c:pt>
                <c:pt idx="114">
                  <c:v>4.0999999999999996</c:v>
                </c:pt>
                <c:pt idx="115">
                  <c:v>4.4000000000000004</c:v>
                </c:pt>
                <c:pt idx="116">
                  <c:v>5.2</c:v>
                </c:pt>
                <c:pt idx="117">
                  <c:v>7.1</c:v>
                </c:pt>
                <c:pt idx="118">
                  <c:v>4.4000000000000004</c:v>
                </c:pt>
                <c:pt idx="119">
                  <c:v>3.3</c:v>
                </c:pt>
                <c:pt idx="120">
                  <c:v>1</c:v>
                </c:pt>
                <c:pt idx="121">
                  <c:v>6.9</c:v>
                </c:pt>
                <c:pt idx="122">
                  <c:v>3.6</c:v>
                </c:pt>
                <c:pt idx="123">
                  <c:v>4.8</c:v>
                </c:pt>
                <c:pt idx="124">
                  <c:v>6.9</c:v>
                </c:pt>
                <c:pt idx="125">
                  <c:v>4.3</c:v>
                </c:pt>
                <c:pt idx="126">
                  <c:v>3.7</c:v>
                </c:pt>
                <c:pt idx="127">
                  <c:v>6.1</c:v>
                </c:pt>
                <c:pt idx="128">
                  <c:v>4.7</c:v>
                </c:pt>
                <c:pt idx="129">
                  <c:v>4.9000000000000004</c:v>
                </c:pt>
                <c:pt idx="130">
                  <c:v>1.7</c:v>
                </c:pt>
                <c:pt idx="131">
                  <c:v>5.8</c:v>
                </c:pt>
                <c:pt idx="132">
                  <c:v>4.5999999999999996</c:v>
                </c:pt>
                <c:pt idx="133">
                  <c:v>1.9</c:v>
                </c:pt>
                <c:pt idx="134">
                  <c:v>4.7</c:v>
                </c:pt>
                <c:pt idx="135">
                  <c:v>0.9</c:v>
                </c:pt>
                <c:pt idx="136">
                  <c:v>7.5</c:v>
                </c:pt>
                <c:pt idx="137">
                  <c:v>2.2999999999999998</c:v>
                </c:pt>
                <c:pt idx="138">
                  <c:v>6.4</c:v>
                </c:pt>
                <c:pt idx="139">
                  <c:v>2.8</c:v>
                </c:pt>
                <c:pt idx="140">
                  <c:v>4.8</c:v>
                </c:pt>
                <c:pt idx="141">
                  <c:v>2.6</c:v>
                </c:pt>
                <c:pt idx="142">
                  <c:v>5.5</c:v>
                </c:pt>
                <c:pt idx="143">
                  <c:v>3.6</c:v>
                </c:pt>
                <c:pt idx="144">
                  <c:v>4.7</c:v>
                </c:pt>
                <c:pt idx="145">
                  <c:v>4</c:v>
                </c:pt>
                <c:pt idx="146">
                  <c:v>2</c:v>
                </c:pt>
                <c:pt idx="147">
                  <c:v>4.8</c:v>
                </c:pt>
                <c:pt idx="148">
                  <c:v>3.2</c:v>
                </c:pt>
                <c:pt idx="149">
                  <c:v>5.6</c:v>
                </c:pt>
                <c:pt idx="150">
                  <c:v>3.6</c:v>
                </c:pt>
                <c:pt idx="151">
                  <c:v>3.9</c:v>
                </c:pt>
                <c:pt idx="152">
                  <c:v>6.5</c:v>
                </c:pt>
                <c:pt idx="153">
                  <c:v>7.6</c:v>
                </c:pt>
                <c:pt idx="154">
                  <c:v>5.2</c:v>
                </c:pt>
                <c:pt idx="155">
                  <c:v>3.6</c:v>
                </c:pt>
                <c:pt idx="156">
                  <c:v>3.4</c:v>
                </c:pt>
                <c:pt idx="157">
                  <c:v>2.8</c:v>
                </c:pt>
                <c:pt idx="158">
                  <c:v>3.1</c:v>
                </c:pt>
                <c:pt idx="159">
                  <c:v>3.6</c:v>
                </c:pt>
                <c:pt idx="160">
                  <c:v>6.9</c:v>
                </c:pt>
                <c:pt idx="161">
                  <c:v>3.7</c:v>
                </c:pt>
                <c:pt idx="162">
                  <c:v>2.2000000000000002</c:v>
                </c:pt>
                <c:pt idx="163">
                  <c:v>4.0999999999999996</c:v>
                </c:pt>
                <c:pt idx="164">
                  <c:v>4.3</c:v>
                </c:pt>
                <c:pt idx="165">
                  <c:v>4.0999999999999996</c:v>
                </c:pt>
                <c:pt idx="166">
                  <c:v>5.2</c:v>
                </c:pt>
                <c:pt idx="167">
                  <c:v>4.0999999999999996</c:v>
                </c:pt>
                <c:pt idx="168">
                  <c:v>5.2</c:v>
                </c:pt>
                <c:pt idx="169">
                  <c:v>2.8</c:v>
                </c:pt>
                <c:pt idx="170">
                  <c:v>0</c:v>
                </c:pt>
                <c:pt idx="171">
                  <c:v>4.4000000000000004</c:v>
                </c:pt>
                <c:pt idx="172">
                  <c:v>4.5999999999999996</c:v>
                </c:pt>
                <c:pt idx="173">
                  <c:v>2.8</c:v>
                </c:pt>
                <c:pt idx="174">
                  <c:v>4.7</c:v>
                </c:pt>
                <c:pt idx="175">
                  <c:v>5</c:v>
                </c:pt>
                <c:pt idx="176">
                  <c:v>2.2000000000000002</c:v>
                </c:pt>
                <c:pt idx="177">
                  <c:v>1.5</c:v>
                </c:pt>
                <c:pt idx="178">
                  <c:v>4.4000000000000004</c:v>
                </c:pt>
                <c:pt idx="179">
                  <c:v>3.3</c:v>
                </c:pt>
                <c:pt idx="180">
                  <c:v>4.4000000000000004</c:v>
                </c:pt>
                <c:pt idx="181">
                  <c:v>2.1</c:v>
                </c:pt>
                <c:pt idx="182">
                  <c:v>1.7</c:v>
                </c:pt>
                <c:pt idx="183">
                  <c:v>4.3</c:v>
                </c:pt>
                <c:pt idx="184">
                  <c:v>3.5</c:v>
                </c:pt>
                <c:pt idx="185">
                  <c:v>0</c:v>
                </c:pt>
                <c:pt idx="186">
                  <c:v>6</c:v>
                </c:pt>
                <c:pt idx="187">
                  <c:v>2</c:v>
                </c:pt>
                <c:pt idx="188">
                  <c:v>7.9</c:v>
                </c:pt>
                <c:pt idx="189">
                  <c:v>3.1</c:v>
                </c:pt>
                <c:pt idx="190">
                  <c:v>4.5999999999999996</c:v>
                </c:pt>
                <c:pt idx="191">
                  <c:v>6.5</c:v>
                </c:pt>
                <c:pt idx="192">
                  <c:v>6.2</c:v>
                </c:pt>
                <c:pt idx="193">
                  <c:v>7</c:v>
                </c:pt>
                <c:pt idx="194">
                  <c:v>1.7</c:v>
                </c:pt>
                <c:pt idx="195">
                  <c:v>2.2999999999999998</c:v>
                </c:pt>
                <c:pt idx="196">
                  <c:v>4.3</c:v>
                </c:pt>
                <c:pt idx="197">
                  <c:v>5.3</c:v>
                </c:pt>
                <c:pt idx="198">
                  <c:v>4</c:v>
                </c:pt>
                <c:pt idx="199">
                  <c:v>1.5</c:v>
                </c:pt>
              </c:numCache>
            </c:numRef>
          </c:xVal>
          <c:yVal>
            <c:numRef>
              <c:f>Data_Cleaning!$E$2:$E$201</c:f>
              <c:numCache>
                <c:formatCode>0.00</c:formatCode>
                <c:ptCount val="200"/>
                <c:pt idx="0">
                  <c:v>75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47.2</c:v>
                </c:pt>
                <c:pt idx="4">
                  <c:v>78</c:v>
                </c:pt>
                <c:pt idx="5">
                  <c:v>71.5</c:v>
                </c:pt>
                <c:pt idx="6">
                  <c:v>88</c:v>
                </c:pt>
                <c:pt idx="7">
                  <c:v>69.3</c:v>
                </c:pt>
                <c:pt idx="8">
                  <c:v>75.7</c:v>
                </c:pt>
                <c:pt idx="9">
                  <c:v>78.3</c:v>
                </c:pt>
                <c:pt idx="10">
                  <c:v>52.5</c:v>
                </c:pt>
                <c:pt idx="11">
                  <c:v>96.2</c:v>
                </c:pt>
                <c:pt idx="12">
                  <c:v>65.7</c:v>
                </c:pt>
                <c:pt idx="13">
                  <c:v>74.900000000000006</c:v>
                </c:pt>
                <c:pt idx="14">
                  <c:v>76.400000000000006</c:v>
                </c:pt>
                <c:pt idx="15">
                  <c:v>61.9</c:v>
                </c:pt>
                <c:pt idx="16">
                  <c:v>88.5</c:v>
                </c:pt>
                <c:pt idx="17">
                  <c:v>72.7</c:v>
                </c:pt>
                <c:pt idx="18">
                  <c:v>67.900000000000006</c:v>
                </c:pt>
                <c:pt idx="19">
                  <c:v>71.400000000000006</c:v>
                </c:pt>
                <c:pt idx="20">
                  <c:v>77.599999999999994</c:v>
                </c:pt>
                <c:pt idx="21">
                  <c:v>70.099999999999994</c:v>
                </c:pt>
                <c:pt idx="22">
                  <c:v>78.8</c:v>
                </c:pt>
                <c:pt idx="23">
                  <c:v>53.2</c:v>
                </c:pt>
                <c:pt idx="24">
                  <c:v>62.5</c:v>
                </c:pt>
                <c:pt idx="25">
                  <c:v>48.6</c:v>
                </c:pt>
                <c:pt idx="26">
                  <c:v>90</c:v>
                </c:pt>
                <c:pt idx="27">
                  <c:v>89.8</c:v>
                </c:pt>
                <c:pt idx="28">
                  <c:v>76.3</c:v>
                </c:pt>
                <c:pt idx="29">
                  <c:v>59.9</c:v>
                </c:pt>
                <c:pt idx="30">
                  <c:v>93.9</c:v>
                </c:pt>
                <c:pt idx="31">
                  <c:v>64</c:v>
                </c:pt>
                <c:pt idx="32">
                  <c:v>67.900000000000006</c:v>
                </c:pt>
                <c:pt idx="33">
                  <c:v>71.599999999999994</c:v>
                </c:pt>
                <c:pt idx="34">
                  <c:v>74.5</c:v>
                </c:pt>
                <c:pt idx="35">
                  <c:v>76.400000000000006</c:v>
                </c:pt>
                <c:pt idx="36">
                  <c:v>76.8</c:v>
                </c:pt>
                <c:pt idx="37">
                  <c:v>0</c:v>
                </c:pt>
                <c:pt idx="38">
                  <c:v>76.7</c:v>
                </c:pt>
                <c:pt idx="39">
                  <c:v>0</c:v>
                </c:pt>
                <c:pt idx="40">
                  <c:v>75.8</c:v>
                </c:pt>
                <c:pt idx="41">
                  <c:v>75</c:v>
                </c:pt>
                <c:pt idx="42">
                  <c:v>77.599999999999994</c:v>
                </c:pt>
                <c:pt idx="43">
                  <c:v>76.400000000000006</c:v>
                </c:pt>
                <c:pt idx="44">
                  <c:v>65.599999999999994</c:v>
                </c:pt>
                <c:pt idx="45">
                  <c:v>74.599999999999994</c:v>
                </c:pt>
                <c:pt idx="46">
                  <c:v>76.5</c:v>
                </c:pt>
                <c:pt idx="47">
                  <c:v>57.1</c:v>
                </c:pt>
                <c:pt idx="48">
                  <c:v>67.3</c:v>
                </c:pt>
                <c:pt idx="49">
                  <c:v>76.099999999999994</c:v>
                </c:pt>
                <c:pt idx="50">
                  <c:v>87.1</c:v>
                </c:pt>
                <c:pt idx="51">
                  <c:v>78.2</c:v>
                </c:pt>
                <c:pt idx="52">
                  <c:v>87.7</c:v>
                </c:pt>
                <c:pt idx="53">
                  <c:v>66</c:v>
                </c:pt>
                <c:pt idx="54">
                  <c:v>72.5</c:v>
                </c:pt>
                <c:pt idx="55">
                  <c:v>78.099999999999994</c:v>
                </c:pt>
                <c:pt idx="56">
                  <c:v>46.7</c:v>
                </c:pt>
                <c:pt idx="57">
                  <c:v>0</c:v>
                </c:pt>
                <c:pt idx="58">
                  <c:v>51.4</c:v>
                </c:pt>
                <c:pt idx="59">
                  <c:v>80</c:v>
                </c:pt>
                <c:pt idx="60">
                  <c:v>76.900000000000006</c:v>
                </c:pt>
                <c:pt idx="61">
                  <c:v>46.6</c:v>
                </c:pt>
                <c:pt idx="62">
                  <c:v>47.1</c:v>
                </c:pt>
                <c:pt idx="63">
                  <c:v>0</c:v>
                </c:pt>
                <c:pt idx="64">
                  <c:v>82.1</c:v>
                </c:pt>
                <c:pt idx="65">
                  <c:v>61.2</c:v>
                </c:pt>
                <c:pt idx="66">
                  <c:v>61.2</c:v>
                </c:pt>
                <c:pt idx="67">
                  <c:v>75.099999999999994</c:v>
                </c:pt>
                <c:pt idx="68">
                  <c:v>69.900000000000006</c:v>
                </c:pt>
                <c:pt idx="69">
                  <c:v>80.5</c:v>
                </c:pt>
                <c:pt idx="70">
                  <c:v>74.8</c:v>
                </c:pt>
                <c:pt idx="71">
                  <c:v>85.8</c:v>
                </c:pt>
                <c:pt idx="72">
                  <c:v>79.7</c:v>
                </c:pt>
                <c:pt idx="73">
                  <c:v>77.2</c:v>
                </c:pt>
                <c:pt idx="74">
                  <c:v>66.5</c:v>
                </c:pt>
                <c:pt idx="75">
                  <c:v>65.7</c:v>
                </c:pt>
                <c:pt idx="76">
                  <c:v>69.5</c:v>
                </c:pt>
                <c:pt idx="77">
                  <c:v>88.4</c:v>
                </c:pt>
                <c:pt idx="78">
                  <c:v>65.900000000000006</c:v>
                </c:pt>
                <c:pt idx="79">
                  <c:v>72.599999999999994</c:v>
                </c:pt>
                <c:pt idx="80">
                  <c:v>47.6</c:v>
                </c:pt>
                <c:pt idx="81">
                  <c:v>76.8</c:v>
                </c:pt>
                <c:pt idx="82">
                  <c:v>92.6</c:v>
                </c:pt>
                <c:pt idx="83">
                  <c:v>60.7</c:v>
                </c:pt>
                <c:pt idx="84">
                  <c:v>100</c:v>
                </c:pt>
                <c:pt idx="85">
                  <c:v>71.8</c:v>
                </c:pt>
                <c:pt idx="86">
                  <c:v>44.3</c:v>
                </c:pt>
                <c:pt idx="87">
                  <c:v>66.099999999999994</c:v>
                </c:pt>
                <c:pt idx="88">
                  <c:v>83.3</c:v>
                </c:pt>
                <c:pt idx="89">
                  <c:v>90</c:v>
                </c:pt>
                <c:pt idx="90">
                  <c:v>77.2</c:v>
                </c:pt>
                <c:pt idx="91">
                  <c:v>85.7</c:v>
                </c:pt>
                <c:pt idx="92">
                  <c:v>58.2</c:v>
                </c:pt>
                <c:pt idx="93">
                  <c:v>63.2</c:v>
                </c:pt>
                <c:pt idx="94">
                  <c:v>53.2</c:v>
                </c:pt>
                <c:pt idx="95">
                  <c:v>63.9</c:v>
                </c:pt>
                <c:pt idx="96">
                  <c:v>77.599999999999994</c:v>
                </c:pt>
                <c:pt idx="97">
                  <c:v>72.099999999999994</c:v>
                </c:pt>
                <c:pt idx="98">
                  <c:v>78.7</c:v>
                </c:pt>
                <c:pt idx="99">
                  <c:v>60.6</c:v>
                </c:pt>
                <c:pt idx="100">
                  <c:v>61.2</c:v>
                </c:pt>
                <c:pt idx="101">
                  <c:v>72</c:v>
                </c:pt>
                <c:pt idx="102">
                  <c:v>64</c:v>
                </c:pt>
                <c:pt idx="103">
                  <c:v>83</c:v>
                </c:pt>
                <c:pt idx="104">
                  <c:v>63.7</c:v>
                </c:pt>
                <c:pt idx="105">
                  <c:v>65</c:v>
                </c:pt>
                <c:pt idx="106">
                  <c:v>74.2</c:v>
                </c:pt>
                <c:pt idx="107">
                  <c:v>66.099999999999994</c:v>
                </c:pt>
                <c:pt idx="108">
                  <c:v>57.7</c:v>
                </c:pt>
                <c:pt idx="109">
                  <c:v>59</c:v>
                </c:pt>
                <c:pt idx="110">
                  <c:v>75.400000000000006</c:v>
                </c:pt>
                <c:pt idx="111">
                  <c:v>56.4</c:v>
                </c:pt>
                <c:pt idx="112">
                  <c:v>84</c:v>
                </c:pt>
                <c:pt idx="113">
                  <c:v>63.1</c:v>
                </c:pt>
                <c:pt idx="114">
                  <c:v>76.2</c:v>
                </c:pt>
                <c:pt idx="115">
                  <c:v>63.7</c:v>
                </c:pt>
                <c:pt idx="116">
                  <c:v>60.8</c:v>
                </c:pt>
                <c:pt idx="117">
                  <c:v>72.5</c:v>
                </c:pt>
                <c:pt idx="118">
                  <c:v>80.5</c:v>
                </c:pt>
                <c:pt idx="119">
                  <c:v>67.5</c:v>
                </c:pt>
                <c:pt idx="120">
                  <c:v>69.3</c:v>
                </c:pt>
                <c:pt idx="121">
                  <c:v>78.099999999999994</c:v>
                </c:pt>
                <c:pt idx="122">
                  <c:v>78.400000000000006</c:v>
                </c:pt>
                <c:pt idx="123">
                  <c:v>69.599999999999994</c:v>
                </c:pt>
                <c:pt idx="124">
                  <c:v>65.599999999999994</c:v>
                </c:pt>
                <c:pt idx="125">
                  <c:v>70.8</c:v>
                </c:pt>
                <c:pt idx="126">
                  <c:v>68.099999999999994</c:v>
                </c:pt>
                <c:pt idx="127">
                  <c:v>73.099999999999994</c:v>
                </c:pt>
                <c:pt idx="128">
                  <c:v>58.1</c:v>
                </c:pt>
                <c:pt idx="129">
                  <c:v>72.8</c:v>
                </c:pt>
                <c:pt idx="130">
                  <c:v>62.8</c:v>
                </c:pt>
                <c:pt idx="131">
                  <c:v>79.099999999999994</c:v>
                </c:pt>
                <c:pt idx="132">
                  <c:v>63.3</c:v>
                </c:pt>
                <c:pt idx="133">
                  <c:v>63.4</c:v>
                </c:pt>
                <c:pt idx="134">
                  <c:v>74.5</c:v>
                </c:pt>
                <c:pt idx="135">
                  <c:v>70.099999999999994</c:v>
                </c:pt>
                <c:pt idx="136">
                  <c:v>92.8</c:v>
                </c:pt>
                <c:pt idx="137">
                  <c:v>0</c:v>
                </c:pt>
                <c:pt idx="138">
                  <c:v>71.099999999999994</c:v>
                </c:pt>
                <c:pt idx="139">
                  <c:v>81.3</c:v>
                </c:pt>
                <c:pt idx="140">
                  <c:v>64.2</c:v>
                </c:pt>
                <c:pt idx="141">
                  <c:v>60.9</c:v>
                </c:pt>
                <c:pt idx="142">
                  <c:v>61.3</c:v>
                </c:pt>
                <c:pt idx="143">
                  <c:v>53.9</c:v>
                </c:pt>
                <c:pt idx="144">
                  <c:v>83.5</c:v>
                </c:pt>
                <c:pt idx="145">
                  <c:v>66.7</c:v>
                </c:pt>
                <c:pt idx="146">
                  <c:v>65.5</c:v>
                </c:pt>
                <c:pt idx="147">
                  <c:v>48.8</c:v>
                </c:pt>
                <c:pt idx="148">
                  <c:v>55.7</c:v>
                </c:pt>
                <c:pt idx="149">
                  <c:v>84.7</c:v>
                </c:pt>
                <c:pt idx="150">
                  <c:v>73</c:v>
                </c:pt>
                <c:pt idx="151">
                  <c:v>81.7</c:v>
                </c:pt>
                <c:pt idx="152">
                  <c:v>80.400000000000006</c:v>
                </c:pt>
                <c:pt idx="153">
                  <c:v>60</c:v>
                </c:pt>
                <c:pt idx="154">
                  <c:v>94.3</c:v>
                </c:pt>
                <c:pt idx="155">
                  <c:v>89.5</c:v>
                </c:pt>
                <c:pt idx="156">
                  <c:v>64.400000000000006</c:v>
                </c:pt>
                <c:pt idx="157">
                  <c:v>34.299999999999997</c:v>
                </c:pt>
                <c:pt idx="158">
                  <c:v>66.400000000000006</c:v>
                </c:pt>
                <c:pt idx="159">
                  <c:v>72.400000000000006</c:v>
                </c:pt>
                <c:pt idx="160">
                  <c:v>64.3</c:v>
                </c:pt>
                <c:pt idx="161">
                  <c:v>67.8</c:v>
                </c:pt>
                <c:pt idx="162">
                  <c:v>61.7</c:v>
                </c:pt>
                <c:pt idx="163">
                  <c:v>79.2</c:v>
                </c:pt>
                <c:pt idx="164">
                  <c:v>70.599999999999994</c:v>
                </c:pt>
                <c:pt idx="165">
                  <c:v>79.5</c:v>
                </c:pt>
                <c:pt idx="166">
                  <c:v>82.2</c:v>
                </c:pt>
                <c:pt idx="167">
                  <c:v>48.3</c:v>
                </c:pt>
                <c:pt idx="168">
                  <c:v>62.3</c:v>
                </c:pt>
                <c:pt idx="169">
                  <c:v>63.8</c:v>
                </c:pt>
                <c:pt idx="170">
                  <c:v>95.7</c:v>
                </c:pt>
                <c:pt idx="171">
                  <c:v>71.5</c:v>
                </c:pt>
                <c:pt idx="172">
                  <c:v>0</c:v>
                </c:pt>
                <c:pt idx="173">
                  <c:v>51.2</c:v>
                </c:pt>
                <c:pt idx="174">
                  <c:v>71.400000000000006</c:v>
                </c:pt>
                <c:pt idx="175">
                  <c:v>79.8</c:v>
                </c:pt>
                <c:pt idx="176">
                  <c:v>78.599999999999994</c:v>
                </c:pt>
                <c:pt idx="177">
                  <c:v>76.2</c:v>
                </c:pt>
                <c:pt idx="178">
                  <c:v>70.099999999999994</c:v>
                </c:pt>
                <c:pt idx="179">
                  <c:v>70.599999999999994</c:v>
                </c:pt>
                <c:pt idx="180">
                  <c:v>53.1</c:v>
                </c:pt>
                <c:pt idx="181">
                  <c:v>61</c:v>
                </c:pt>
                <c:pt idx="182">
                  <c:v>72.3</c:v>
                </c:pt>
                <c:pt idx="183">
                  <c:v>62.8</c:v>
                </c:pt>
                <c:pt idx="184">
                  <c:v>76.900000000000006</c:v>
                </c:pt>
                <c:pt idx="185">
                  <c:v>74.7</c:v>
                </c:pt>
                <c:pt idx="186">
                  <c:v>83.7</c:v>
                </c:pt>
                <c:pt idx="187">
                  <c:v>79.599999999999994</c:v>
                </c:pt>
                <c:pt idx="188">
                  <c:v>72.3</c:v>
                </c:pt>
                <c:pt idx="189">
                  <c:v>77.5</c:v>
                </c:pt>
                <c:pt idx="190">
                  <c:v>80.099999999999994</c:v>
                </c:pt>
                <c:pt idx="191">
                  <c:v>64.900000000000006</c:v>
                </c:pt>
                <c:pt idx="192">
                  <c:v>66.7</c:v>
                </c:pt>
                <c:pt idx="193">
                  <c:v>69</c:v>
                </c:pt>
                <c:pt idx="194">
                  <c:v>65.2</c:v>
                </c:pt>
                <c:pt idx="195">
                  <c:v>80.2</c:v>
                </c:pt>
                <c:pt idx="196">
                  <c:v>63.7</c:v>
                </c:pt>
                <c:pt idx="197">
                  <c:v>82.5</c:v>
                </c:pt>
                <c:pt idx="198">
                  <c:v>66.3</c:v>
                </c:pt>
                <c:pt idx="199">
                  <c:v>74.7</c:v>
                </c:pt>
              </c:numCache>
            </c:numRef>
          </c:yVal>
        </c:ser>
        <c:axId val="169920000"/>
        <c:axId val="194197376"/>
      </c:scatterChart>
      <c:valAx>
        <c:axId val="169920000"/>
        <c:scaling>
          <c:orientation val="minMax"/>
        </c:scaling>
        <c:axPos val="b"/>
        <c:numFmt formatCode="0.00" sourceLinked="1"/>
        <c:tickLblPos val="nextTo"/>
        <c:crossAx val="194197376"/>
        <c:crosses val="autoZero"/>
        <c:crossBetween val="midCat"/>
      </c:valAx>
      <c:valAx>
        <c:axId val="194197376"/>
        <c:scaling>
          <c:orientation val="minMax"/>
        </c:scaling>
        <c:axPos val="l"/>
        <c:majorGridlines/>
        <c:numFmt formatCode="0.00" sourceLinked="1"/>
        <c:tickLblPos val="nextTo"/>
        <c:crossAx val="1699200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99060</xdr:rowOff>
    </xdr:from>
    <xdr:to>
      <xdr:col>11</xdr:col>
      <xdr:colOff>571500</xdr:colOff>
      <xdr:row>17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22</xdr:row>
      <xdr:rowOff>60960</xdr:rowOff>
    </xdr:from>
    <xdr:to>
      <xdr:col>11</xdr:col>
      <xdr:colOff>259080</xdr:colOff>
      <xdr:row>44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me" refreshedDate="45912.680815509259" createdVersion="3" refreshedVersion="3" minRefreshableVersion="3" recordCount="200">
  <cacheSource type="worksheet">
    <worksheetSource ref="A1:I201" sheet="Data_Cleaning"/>
  </cacheSource>
  <cacheFields count="9">
    <cacheField name="Student ID" numFmtId="0">
      <sharedItems containsSemiMixedTypes="0" containsString="0" containsNumber="1" containsInteger="1" minValue="1" maxValue="200"/>
    </cacheField>
    <cacheField name="Age" numFmtId="1">
      <sharedItems containsSemiMixedTypes="0" containsString="0" containsNumber="1" containsInteger="1" minValue="13" maxValue="17" count="5">
        <n v="16"/>
        <n v="17"/>
        <n v="15"/>
        <n v="14"/>
        <n v="13"/>
      </sharedItems>
    </cacheField>
    <cacheField name="Study Hours" numFmtId="2">
      <sharedItems containsSemiMixedTypes="0" containsString="0" containsNumber="1" minValue="0" maxValue="5.8"/>
    </cacheField>
    <cacheField name="Screen Time (hrs)" numFmtId="2">
      <sharedItems containsSemiMixedTypes="0" containsString="0" containsNumber="1" minValue="0" maxValue="7.9" count="60">
        <n v="2.7"/>
        <n v="4"/>
        <n v="4.3"/>
        <n v="2.8"/>
        <n v="1.8"/>
        <n v="4.4000000000000004"/>
        <n v="6.7"/>
        <n v="4.5999999999999996"/>
        <n v="4.0999999999999996"/>
        <n v="3.6"/>
        <n v="5.8"/>
        <n v="0"/>
        <n v="2"/>
        <n v="1.6"/>
        <n v="5.6"/>
        <n v="3.5"/>
        <n v="4.7"/>
        <n v="5.2"/>
        <n v="6"/>
        <n v="2.6"/>
        <n v="0.5"/>
        <n v="2.5"/>
        <n v="2.9"/>
        <n v="1.2"/>
        <n v="3.1"/>
        <n v="6.4"/>
        <n v="5"/>
        <n v="4.8"/>
        <n v="5.3"/>
        <n v="5.7"/>
        <n v="3.2"/>
        <n v="1.9"/>
        <n v="3.9"/>
        <n v="0.2"/>
        <n v="4.9000000000000004"/>
        <n v="3.7"/>
        <n v="3.3"/>
        <n v="2.2000000000000002"/>
        <n v="3"/>
        <n v="1.7"/>
        <n v="3.8"/>
        <n v="4.2"/>
        <n v="6.1"/>
        <n v="4.5"/>
        <n v="3.4"/>
        <n v="6.9"/>
        <n v="7.8"/>
        <n v="7.1"/>
        <n v="1"/>
        <n v="0.9"/>
        <n v="7.5"/>
        <n v="2.2999999999999998"/>
        <n v="5.5"/>
        <n v="6.5"/>
        <n v="7.6"/>
        <n v="1.5"/>
        <n v="2.1"/>
        <n v="7.9"/>
        <n v="6.2"/>
        <n v="7"/>
      </sharedItems>
    </cacheField>
    <cacheField name="Test_Scores" numFmtId="2">
      <sharedItems containsSemiMixedTypes="0" containsString="0" containsNumber="1" minValue="0" maxValue="100"/>
    </cacheField>
    <cacheField name="Extra_Curricular_Hours" numFmtId="2">
      <sharedItems containsSemiMixedTypes="0" containsString="0" containsNumber="1" minValue="0" maxValue="3.7" count="33">
        <n v="1.6"/>
        <n v="0.7"/>
        <n v="1.5"/>
        <n v="1.8"/>
        <n v="1.4"/>
        <n v="0.4"/>
        <n v="2.9"/>
        <n v="0.9"/>
        <n v="2.8"/>
        <n v="2"/>
        <n v="0.5"/>
        <n v="1.3"/>
        <n v="1.7"/>
        <n v="2.2999999999999998"/>
        <n v="1.9"/>
        <n v="2.6"/>
        <n v="0"/>
        <n v="1.1000000000000001"/>
        <n v="1.2"/>
        <n v="1"/>
        <n v="2.2000000000000002"/>
        <n v="0.8"/>
        <n v="2.1"/>
        <n v="3.7"/>
        <n v="2.4"/>
        <n v="2.7"/>
        <n v="2.5"/>
        <n v="0.6"/>
        <n v="0.1"/>
        <n v="0.2"/>
        <n v="0.3"/>
        <n v="3.5"/>
        <n v="3.1"/>
      </sharedItems>
    </cacheField>
    <cacheField name="High Screen Time" numFmtId="0">
      <sharedItems/>
    </cacheField>
    <cacheField name="Screen Time Catageory" numFmtId="0">
      <sharedItems count="3">
        <s v="3-4 hrs"/>
        <s v="0-2 hrs"/>
        <s v="5-6 hrs"/>
      </sharedItems>
    </cacheField>
    <cacheField name="Age Group" numFmtId="0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ome" refreshedDate="45912.732808680557" createdVersion="3" refreshedVersion="3" minRefreshableVersion="3" recordCount="200">
  <cacheSource type="worksheet">
    <worksheetSource ref="A1:J201" sheet="Data_Cleaning"/>
  </cacheSource>
  <cacheFields count="10">
    <cacheField name="Student ID" numFmtId="0">
      <sharedItems containsSemiMixedTypes="0" containsString="0" containsNumber="1" containsInteger="1" minValue="1" maxValue="200"/>
    </cacheField>
    <cacheField name="Age" numFmtId="1">
      <sharedItems containsSemiMixedTypes="0" containsString="0" containsNumber="1" containsInteger="1" minValue="13" maxValue="17"/>
    </cacheField>
    <cacheField name="Study Hours" numFmtId="2">
      <sharedItems containsSemiMixedTypes="0" containsString="0" containsNumber="1" minValue="0" maxValue="5.8"/>
    </cacheField>
    <cacheField name="Screen Time (hrs)" numFmtId="2">
      <sharedItems containsSemiMixedTypes="0" containsString="0" containsNumber="1" minValue="0" maxValue="7.9"/>
    </cacheField>
    <cacheField name="Test_Scores" numFmtId="2">
      <sharedItems containsSemiMixedTypes="0" containsString="0" containsNumber="1" minValue="0" maxValue="100"/>
    </cacheField>
    <cacheField name="Extra_Curricular_Hours" numFmtId="2">
      <sharedItems containsSemiMixedTypes="0" containsString="0" containsNumber="1" minValue="0" maxValue="3.7"/>
    </cacheField>
    <cacheField name="High Screen Time" numFmtId="0">
      <sharedItems/>
    </cacheField>
    <cacheField name="Screen Time Catageory" numFmtId="0">
      <sharedItems/>
    </cacheField>
    <cacheField name="Age Group" numFmtId="0">
      <sharedItems/>
    </cacheField>
    <cacheField name="Screen Time Range" numFmtId="0">
      <sharedItems count="4">
        <s v="2-4 hrs"/>
        <s v="4-6 hrs"/>
        <s v="0-2 hrs"/>
        <s v="6-8 hr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x v="0"/>
    <n v="2.5"/>
    <x v="0"/>
    <n v="75"/>
    <x v="0"/>
    <s v="2-D64"/>
    <x v="0"/>
    <s v="15-16"/>
  </r>
  <r>
    <n v="2"/>
    <x v="1"/>
    <n v="2.7"/>
    <x v="1"/>
    <n v="68.099999999999994"/>
    <x v="1"/>
    <s v="2-D64"/>
    <x v="0"/>
    <s v="17+"/>
  </r>
  <r>
    <n v="3"/>
    <x v="2"/>
    <n v="3"/>
    <x v="2"/>
    <n v="67.900000000000006"/>
    <x v="2"/>
    <s v="&gt;4"/>
    <x v="0"/>
    <s v="15-16"/>
  </r>
  <r>
    <n v="4"/>
    <x v="1"/>
    <n v="3"/>
    <x v="3"/>
    <n v="47.2"/>
    <x v="3"/>
    <s v="2-D64"/>
    <x v="0"/>
    <s v="17+"/>
  </r>
  <r>
    <n v="5"/>
    <x v="1"/>
    <n v="0"/>
    <x v="4"/>
    <n v="78"/>
    <x v="4"/>
    <s v="0-2"/>
    <x v="1"/>
    <s v="17+"/>
  </r>
  <r>
    <n v="6"/>
    <x v="3"/>
    <n v="1.3"/>
    <x v="5"/>
    <n v="71.5"/>
    <x v="5"/>
    <s v="&gt;4"/>
    <x v="1"/>
    <s v="13-14"/>
  </r>
  <r>
    <n v="7"/>
    <x v="2"/>
    <n v="3.3"/>
    <x v="6"/>
    <n v="88"/>
    <x v="6"/>
    <s v="&gt;4"/>
    <x v="0"/>
    <s v="15-16"/>
  </r>
  <r>
    <n v="8"/>
    <x v="2"/>
    <n v="2.9"/>
    <x v="7"/>
    <n v="69.3"/>
    <x v="0"/>
    <s v="&gt;4"/>
    <x v="0"/>
    <s v="15-16"/>
  </r>
  <r>
    <n v="9"/>
    <x v="2"/>
    <n v="1.4"/>
    <x v="8"/>
    <n v="75.7"/>
    <x v="7"/>
    <s v="&gt;4"/>
    <x v="1"/>
    <s v="15-16"/>
  </r>
  <r>
    <n v="10"/>
    <x v="1"/>
    <n v="1.8"/>
    <x v="8"/>
    <n v="78.3"/>
    <x v="8"/>
    <s v="&gt;4"/>
    <x v="1"/>
    <s v="17+"/>
  </r>
  <r>
    <n v="11"/>
    <x v="0"/>
    <n v="3.4"/>
    <x v="9"/>
    <n v="52.5"/>
    <x v="9"/>
    <s v="2-D64"/>
    <x v="0"/>
    <s v="15-16"/>
  </r>
  <r>
    <n v="12"/>
    <x v="2"/>
    <n v="3.1"/>
    <x v="10"/>
    <n v="96.2"/>
    <x v="10"/>
    <s v="&gt;4"/>
    <x v="0"/>
    <s v="15-16"/>
  </r>
  <r>
    <n v="13"/>
    <x v="1"/>
    <n v="1.8"/>
    <x v="11"/>
    <n v="65.7"/>
    <x v="1"/>
    <s v="0-2"/>
    <x v="1"/>
    <s v="17+"/>
  </r>
  <r>
    <n v="14"/>
    <x v="3"/>
    <n v="2.2000000000000002"/>
    <x v="12"/>
    <n v="74.900000000000006"/>
    <x v="11"/>
    <s v="0-2"/>
    <x v="0"/>
    <s v="13-14"/>
  </r>
  <r>
    <n v="15"/>
    <x v="0"/>
    <n v="2.4"/>
    <x v="13"/>
    <n v="76.400000000000006"/>
    <x v="12"/>
    <s v="0-2"/>
    <x v="0"/>
    <s v="15-16"/>
  </r>
  <r>
    <n v="16"/>
    <x v="3"/>
    <n v="3.1"/>
    <x v="8"/>
    <n v="61.9"/>
    <x v="9"/>
    <s v="&gt;4"/>
    <x v="0"/>
    <s v="13-14"/>
  </r>
  <r>
    <n v="17"/>
    <x v="0"/>
    <n v="3.7"/>
    <x v="14"/>
    <n v="88.5"/>
    <x v="13"/>
    <s v="&gt;4"/>
    <x v="0"/>
    <s v="15-16"/>
  </r>
  <r>
    <n v="18"/>
    <x v="1"/>
    <n v="2.6"/>
    <x v="5"/>
    <n v="72.7"/>
    <x v="14"/>
    <s v="&gt;4"/>
    <x v="0"/>
    <s v="17+"/>
  </r>
  <r>
    <n v="19"/>
    <x v="4"/>
    <n v="0"/>
    <x v="15"/>
    <n v="67.900000000000006"/>
    <x v="15"/>
    <s v="2-D64"/>
    <x v="1"/>
    <s v="13-14"/>
  </r>
  <r>
    <n v="20"/>
    <x v="0"/>
    <n v="3.4"/>
    <x v="16"/>
    <n v="71.400000000000006"/>
    <x v="0"/>
    <s v="&gt;4"/>
    <x v="0"/>
    <s v="15-16"/>
  </r>
  <r>
    <n v="21"/>
    <x v="3"/>
    <n v="2.7"/>
    <x v="2"/>
    <n v="77.599999999999994"/>
    <x v="7"/>
    <s v="&gt;4"/>
    <x v="0"/>
    <s v="13-14"/>
  </r>
  <r>
    <n v="22"/>
    <x v="1"/>
    <n v="1.1000000000000001"/>
    <x v="17"/>
    <n v="70.099999999999994"/>
    <x v="2"/>
    <s v="&gt;4"/>
    <x v="1"/>
    <s v="17+"/>
  </r>
  <r>
    <n v="23"/>
    <x v="0"/>
    <n v="1.5"/>
    <x v="18"/>
    <n v="78.8"/>
    <x v="4"/>
    <s v="&gt;4"/>
    <x v="1"/>
    <s v="15-16"/>
  </r>
  <r>
    <n v="24"/>
    <x v="4"/>
    <n v="3.2"/>
    <x v="19"/>
    <n v="53.2"/>
    <x v="16"/>
    <s v="2-D64"/>
    <x v="0"/>
    <s v="13-14"/>
  </r>
  <r>
    <n v="25"/>
    <x v="4"/>
    <n v="0.8"/>
    <x v="20"/>
    <n v="62.5"/>
    <x v="17"/>
    <s v="0-2"/>
    <x v="1"/>
    <s v="13-14"/>
  </r>
  <r>
    <n v="26"/>
    <x v="2"/>
    <n v="2.6"/>
    <x v="15"/>
    <n v="48.6"/>
    <x v="3"/>
    <s v="2-D64"/>
    <x v="0"/>
    <s v="15-16"/>
  </r>
  <r>
    <n v="27"/>
    <x v="2"/>
    <n v="3.5"/>
    <x v="21"/>
    <n v="90"/>
    <x v="18"/>
    <s v="2-D64"/>
    <x v="0"/>
    <s v="15-16"/>
  </r>
  <r>
    <n v="28"/>
    <x v="3"/>
    <n v="2.7"/>
    <x v="17"/>
    <n v="89.8"/>
    <x v="19"/>
    <s v="&gt;4"/>
    <x v="0"/>
    <s v="13-14"/>
  </r>
  <r>
    <n v="29"/>
    <x v="0"/>
    <n v="1.9"/>
    <x v="22"/>
    <n v="76.3"/>
    <x v="20"/>
    <s v="2-D64"/>
    <x v="1"/>
    <s v="15-16"/>
  </r>
  <r>
    <n v="30"/>
    <x v="0"/>
    <n v="1.7"/>
    <x v="23"/>
    <n v="59.9"/>
    <x v="21"/>
    <s v="0-2"/>
    <x v="1"/>
    <s v="15-16"/>
  </r>
  <r>
    <n v="31"/>
    <x v="2"/>
    <n v="3.3"/>
    <x v="24"/>
    <n v="93.9"/>
    <x v="22"/>
    <s v="2-D64"/>
    <x v="0"/>
    <s v="15-16"/>
  </r>
  <r>
    <n v="32"/>
    <x v="0"/>
    <n v="3"/>
    <x v="4"/>
    <n v="64"/>
    <x v="5"/>
    <s v="0-2"/>
    <x v="0"/>
    <s v="15-16"/>
  </r>
  <r>
    <n v="33"/>
    <x v="0"/>
    <n v="2.2000000000000002"/>
    <x v="25"/>
    <n v="67.900000000000006"/>
    <x v="23"/>
    <s v="&gt;4"/>
    <x v="0"/>
    <s v="15-16"/>
  </r>
  <r>
    <n v="34"/>
    <x v="4"/>
    <n v="3.6"/>
    <x v="16"/>
    <n v="71.599999999999994"/>
    <x v="11"/>
    <s v="&gt;4"/>
    <x v="0"/>
    <s v="13-14"/>
  </r>
  <r>
    <n v="35"/>
    <x v="2"/>
    <n v="3.4"/>
    <x v="26"/>
    <n v="74.5"/>
    <x v="18"/>
    <s v="&gt;4"/>
    <x v="0"/>
    <s v="15-16"/>
  </r>
  <r>
    <n v="36"/>
    <x v="1"/>
    <n v="4.3"/>
    <x v="27"/>
    <n v="76.400000000000006"/>
    <x v="24"/>
    <s v="&gt;4"/>
    <x v="2"/>
    <s v="17+"/>
  </r>
  <r>
    <n v="37"/>
    <x v="2"/>
    <n v="3.1"/>
    <x v="28"/>
    <n v="76.8"/>
    <x v="18"/>
    <s v="&gt;4"/>
    <x v="0"/>
    <s v="15-16"/>
  </r>
  <r>
    <n v="38"/>
    <x v="1"/>
    <n v="2.2999999999999998"/>
    <x v="29"/>
    <n v="0"/>
    <x v="25"/>
    <s v="&gt;4"/>
    <x v="0"/>
    <s v="17+"/>
  </r>
  <r>
    <n v="39"/>
    <x v="4"/>
    <n v="2.4"/>
    <x v="30"/>
    <n v="76.7"/>
    <x v="3"/>
    <s v="2-D64"/>
    <x v="0"/>
    <s v="13-14"/>
  </r>
  <r>
    <n v="40"/>
    <x v="3"/>
    <n v="0.6"/>
    <x v="31"/>
    <n v="0"/>
    <x v="4"/>
    <s v="0-2"/>
    <x v="1"/>
    <s v="13-14"/>
  </r>
  <r>
    <n v="41"/>
    <x v="0"/>
    <n v="2.7"/>
    <x v="0"/>
    <n v="75.8"/>
    <x v="11"/>
    <s v="2-D64"/>
    <x v="0"/>
    <s v="15-16"/>
  </r>
  <r>
    <n v="42"/>
    <x v="4"/>
    <n v="0"/>
    <x v="32"/>
    <n v="75"/>
    <x v="26"/>
    <s v="2-D64"/>
    <x v="1"/>
    <s v="13-14"/>
  </r>
  <r>
    <n v="43"/>
    <x v="0"/>
    <n v="1.2"/>
    <x v="33"/>
    <n v="77.599999999999994"/>
    <x v="12"/>
    <s v="0-2"/>
    <x v="1"/>
    <s v="15-16"/>
  </r>
  <r>
    <n v="44"/>
    <x v="3"/>
    <n v="2.5"/>
    <x v="29"/>
    <n v="76.400000000000006"/>
    <x v="3"/>
    <s v="&gt;4"/>
    <x v="0"/>
    <s v="13-14"/>
  </r>
  <r>
    <n v="45"/>
    <x v="3"/>
    <n v="3.8"/>
    <x v="23"/>
    <n v="65.599999999999994"/>
    <x v="14"/>
    <s v="0-2"/>
    <x v="0"/>
    <s v="13-14"/>
  </r>
  <r>
    <n v="46"/>
    <x v="4"/>
    <n v="1.8"/>
    <x v="34"/>
    <n v="74.599999999999994"/>
    <x v="0"/>
    <s v="&gt;4"/>
    <x v="1"/>
    <s v="13-14"/>
  </r>
  <r>
    <n v="47"/>
    <x v="3"/>
    <n v="1.5"/>
    <x v="35"/>
    <n v="76.5"/>
    <x v="14"/>
    <s v="2-D64"/>
    <x v="1"/>
    <s v="13-14"/>
  </r>
  <r>
    <n v="48"/>
    <x v="1"/>
    <n v="3.6"/>
    <x v="5"/>
    <n v="57.1"/>
    <x v="4"/>
    <s v="&gt;4"/>
    <x v="0"/>
    <s v="17+"/>
  </r>
  <r>
    <n v="49"/>
    <x v="3"/>
    <n v="3.1"/>
    <x v="36"/>
    <n v="67.3"/>
    <x v="2"/>
    <s v="2-D64"/>
    <x v="0"/>
    <s v="13-14"/>
  </r>
  <r>
    <n v="50"/>
    <x v="0"/>
    <n v="5.6"/>
    <x v="2"/>
    <n v="76.099999999999994"/>
    <x v="27"/>
    <s v="&gt;4"/>
    <x v="2"/>
    <s v="15-16"/>
  </r>
  <r>
    <n v="51"/>
    <x v="0"/>
    <n v="1.2"/>
    <x v="36"/>
    <n v="87.1"/>
    <x v="12"/>
    <s v="2-D64"/>
    <x v="1"/>
    <s v="15-16"/>
  </r>
  <r>
    <n v="52"/>
    <x v="0"/>
    <n v="3.2"/>
    <x v="30"/>
    <n v="78.2"/>
    <x v="28"/>
    <s v="2-D64"/>
    <x v="0"/>
    <s v="15-16"/>
  </r>
  <r>
    <n v="53"/>
    <x v="0"/>
    <n v="2.8"/>
    <x v="0"/>
    <n v="87.7"/>
    <x v="12"/>
    <s v="2-D64"/>
    <x v="0"/>
    <s v="15-16"/>
  </r>
  <r>
    <n v="54"/>
    <x v="1"/>
    <n v="2.6"/>
    <x v="11"/>
    <n v="66"/>
    <x v="11"/>
    <s v="0-2"/>
    <x v="0"/>
    <s v="17+"/>
  </r>
  <r>
    <n v="55"/>
    <x v="2"/>
    <n v="3.4"/>
    <x v="7"/>
    <n v="72.5"/>
    <x v="3"/>
    <s v="&gt;4"/>
    <x v="0"/>
    <s v="15-16"/>
  </r>
  <r>
    <n v="56"/>
    <x v="4"/>
    <n v="2.5"/>
    <x v="2"/>
    <n v="78.099999999999994"/>
    <x v="1"/>
    <s v="&gt;4"/>
    <x v="0"/>
    <s v="13-14"/>
  </r>
  <r>
    <n v="57"/>
    <x v="0"/>
    <n v="0.6"/>
    <x v="0"/>
    <n v="46.7"/>
    <x v="16"/>
    <s v="2-D64"/>
    <x v="1"/>
    <s v="15-16"/>
  </r>
  <r>
    <n v="58"/>
    <x v="3"/>
    <n v="1.7"/>
    <x v="9"/>
    <n v="0"/>
    <x v="18"/>
    <s v="2-D64"/>
    <x v="1"/>
    <s v="13-14"/>
  </r>
  <r>
    <n v="59"/>
    <x v="0"/>
    <n v="3.9"/>
    <x v="21"/>
    <n v="51.4"/>
    <x v="1"/>
    <s v="2-D64"/>
    <x v="0"/>
    <s v="15-16"/>
  </r>
  <r>
    <n v="60"/>
    <x v="3"/>
    <n v="3.7"/>
    <x v="36"/>
    <n v="80"/>
    <x v="28"/>
    <s v="2-D64"/>
    <x v="0"/>
    <s v="13-14"/>
  </r>
  <r>
    <n v="61"/>
    <x v="3"/>
    <n v="2.1"/>
    <x v="37"/>
    <n v="76.900000000000006"/>
    <x v="22"/>
    <s v="2-D64"/>
    <x v="0"/>
    <s v="13-14"/>
  </r>
  <r>
    <n v="62"/>
    <x v="0"/>
    <n v="3"/>
    <x v="25"/>
    <n v="46.6"/>
    <x v="8"/>
    <s v="&gt;4"/>
    <x v="0"/>
    <s v="15-16"/>
  </r>
  <r>
    <n v="63"/>
    <x v="1"/>
    <n v="5.3"/>
    <x v="11"/>
    <n v="47.1"/>
    <x v="7"/>
    <s v="0-2"/>
    <x v="2"/>
    <s v="17+"/>
  </r>
  <r>
    <n v="64"/>
    <x v="3"/>
    <n v="2.5"/>
    <x v="0"/>
    <n v="0"/>
    <x v="4"/>
    <s v="2-D64"/>
    <x v="0"/>
    <s v="13-14"/>
  </r>
  <r>
    <n v="65"/>
    <x v="3"/>
    <n v="2.5"/>
    <x v="12"/>
    <n v="82.1"/>
    <x v="11"/>
    <s v="0-2"/>
    <x v="0"/>
    <s v="13-14"/>
  </r>
  <r>
    <n v="66"/>
    <x v="0"/>
    <n v="2.7"/>
    <x v="3"/>
    <n v="61.2"/>
    <x v="19"/>
    <s v="2-D64"/>
    <x v="0"/>
    <s v="15-16"/>
  </r>
  <r>
    <n v="67"/>
    <x v="3"/>
    <n v="3.1"/>
    <x v="36"/>
    <n v="61.2"/>
    <x v="9"/>
    <s v="2-D64"/>
    <x v="0"/>
    <s v="13-14"/>
  </r>
  <r>
    <n v="68"/>
    <x v="3"/>
    <n v="2.2000000000000002"/>
    <x v="32"/>
    <n v="75.099999999999994"/>
    <x v="13"/>
    <s v="2-D64"/>
    <x v="0"/>
    <s v="13-14"/>
  </r>
  <r>
    <n v="69"/>
    <x v="0"/>
    <n v="3.1"/>
    <x v="38"/>
    <n v="69.900000000000006"/>
    <x v="21"/>
    <s v="2-D64"/>
    <x v="0"/>
    <s v="15-16"/>
  </r>
  <r>
    <n v="70"/>
    <x v="0"/>
    <n v="0.6"/>
    <x v="13"/>
    <n v="80.5"/>
    <x v="2"/>
    <s v="0-2"/>
    <x v="1"/>
    <s v="15-16"/>
  </r>
  <r>
    <n v="71"/>
    <x v="4"/>
    <n v="2.8"/>
    <x v="39"/>
    <n v="74.8"/>
    <x v="26"/>
    <s v="0-2"/>
    <x v="0"/>
    <s v="13-14"/>
  </r>
  <r>
    <n v="72"/>
    <x v="1"/>
    <n v="2.6"/>
    <x v="26"/>
    <n v="85.8"/>
    <x v="22"/>
    <s v="&gt;4"/>
    <x v="0"/>
    <s v="17+"/>
  </r>
  <r>
    <n v="73"/>
    <x v="1"/>
    <n v="2.2999999999999998"/>
    <x v="40"/>
    <n v="79.7"/>
    <x v="20"/>
    <s v="2-D64"/>
    <x v="0"/>
    <s v="17+"/>
  </r>
  <r>
    <n v="74"/>
    <x v="3"/>
    <n v="2"/>
    <x v="26"/>
    <n v="77.2"/>
    <x v="15"/>
    <s v="&gt;4"/>
    <x v="1"/>
    <s v="13-14"/>
  </r>
  <r>
    <n v="75"/>
    <x v="1"/>
    <n v="1.9"/>
    <x v="17"/>
    <n v="66.5"/>
    <x v="15"/>
    <s v="&gt;4"/>
    <x v="1"/>
    <s v="17+"/>
  </r>
  <r>
    <n v="76"/>
    <x v="3"/>
    <n v="1.7"/>
    <x v="41"/>
    <n v="65.7"/>
    <x v="13"/>
    <s v="&gt;4"/>
    <x v="1"/>
    <s v="13-14"/>
  </r>
  <r>
    <n v="77"/>
    <x v="4"/>
    <n v="0.2"/>
    <x v="37"/>
    <n v="69.5"/>
    <x v="0"/>
    <s v="2-D64"/>
    <x v="1"/>
    <s v="13-14"/>
  </r>
  <r>
    <n v="78"/>
    <x v="0"/>
    <n v="2.2000000000000002"/>
    <x v="2"/>
    <n v="88.4"/>
    <x v="18"/>
    <s v="&gt;4"/>
    <x v="0"/>
    <s v="15-16"/>
  </r>
  <r>
    <n v="79"/>
    <x v="0"/>
    <n v="3.6"/>
    <x v="42"/>
    <n v="65.900000000000006"/>
    <x v="0"/>
    <s v="&gt;4"/>
    <x v="0"/>
    <s v="15-16"/>
  </r>
  <r>
    <n v="80"/>
    <x v="0"/>
    <n v="2.2000000000000002"/>
    <x v="36"/>
    <n v="72.599999999999994"/>
    <x v="17"/>
    <s v="2-D64"/>
    <x v="0"/>
    <s v="15-16"/>
  </r>
  <r>
    <n v="81"/>
    <x v="1"/>
    <n v="3.1"/>
    <x v="43"/>
    <n v="47.6"/>
    <x v="16"/>
    <s v="&gt;4"/>
    <x v="0"/>
    <s v="17+"/>
  </r>
  <r>
    <n v="82"/>
    <x v="4"/>
    <n v="1.4"/>
    <x v="1"/>
    <n v="76.8"/>
    <x v="11"/>
    <s v="2-D64"/>
    <x v="1"/>
    <s v="13-14"/>
  </r>
  <r>
    <n v="83"/>
    <x v="1"/>
    <n v="1.2"/>
    <x v="42"/>
    <n v="92.6"/>
    <x v="3"/>
    <s v="&gt;4"/>
    <x v="1"/>
    <s v="17+"/>
  </r>
  <r>
    <n v="84"/>
    <x v="1"/>
    <n v="1.7"/>
    <x v="38"/>
    <n v="60.7"/>
    <x v="19"/>
    <s v="2-D64"/>
    <x v="1"/>
    <s v="17+"/>
  </r>
  <r>
    <n v="85"/>
    <x v="4"/>
    <n v="1.5"/>
    <x v="29"/>
    <n v="100"/>
    <x v="11"/>
    <s v="&gt;4"/>
    <x v="1"/>
    <s v="13-14"/>
  </r>
  <r>
    <n v="86"/>
    <x v="4"/>
    <n v="1.3"/>
    <x v="44"/>
    <n v="71.8"/>
    <x v="4"/>
    <s v="2-D64"/>
    <x v="1"/>
    <s v="13-14"/>
  </r>
  <r>
    <n v="87"/>
    <x v="4"/>
    <n v="2.9"/>
    <x v="38"/>
    <n v="44.3"/>
    <x v="15"/>
    <s v="2-D64"/>
    <x v="0"/>
    <s v="13-14"/>
  </r>
  <r>
    <n v="88"/>
    <x v="4"/>
    <n v="4.3"/>
    <x v="41"/>
    <n v="66.099999999999994"/>
    <x v="18"/>
    <s v="&gt;4"/>
    <x v="2"/>
    <s v="13-14"/>
  </r>
  <r>
    <n v="89"/>
    <x v="0"/>
    <n v="1.8"/>
    <x v="43"/>
    <n v="83.3"/>
    <x v="15"/>
    <s v="&gt;4"/>
    <x v="1"/>
    <s v="15-16"/>
  </r>
  <r>
    <n v="90"/>
    <x v="2"/>
    <n v="0"/>
    <x v="45"/>
    <n v="90"/>
    <x v="16"/>
    <s v="&gt;4"/>
    <x v="1"/>
    <s v="15-16"/>
  </r>
  <r>
    <n v="91"/>
    <x v="2"/>
    <n v="3.2"/>
    <x v="43"/>
    <n v="77.2"/>
    <x v="15"/>
    <s v="&gt;4"/>
    <x v="0"/>
    <s v="15-16"/>
  </r>
  <r>
    <n v="92"/>
    <x v="4"/>
    <n v="1.1000000000000001"/>
    <x v="2"/>
    <n v="85.7"/>
    <x v="26"/>
    <s v="&gt;4"/>
    <x v="1"/>
    <s v="13-14"/>
  </r>
  <r>
    <n v="93"/>
    <x v="2"/>
    <n v="1.3"/>
    <x v="25"/>
    <n v="58.2"/>
    <x v="20"/>
    <s v="&gt;4"/>
    <x v="1"/>
    <s v="15-16"/>
  </r>
  <r>
    <n v="94"/>
    <x v="2"/>
    <n v="3"/>
    <x v="34"/>
    <n v="63.2"/>
    <x v="16"/>
    <s v="&gt;4"/>
    <x v="0"/>
    <s v="15-16"/>
  </r>
  <r>
    <n v="95"/>
    <x v="4"/>
    <n v="2.2999999999999998"/>
    <x v="38"/>
    <n v="53.2"/>
    <x v="13"/>
    <s v="2-D64"/>
    <x v="0"/>
    <s v="13-14"/>
  </r>
  <r>
    <n v="96"/>
    <x v="2"/>
    <n v="1.8"/>
    <x v="18"/>
    <n v="63.9"/>
    <x v="2"/>
    <s v="&gt;4"/>
    <x v="1"/>
    <s v="15-16"/>
  </r>
  <r>
    <n v="97"/>
    <x v="1"/>
    <n v="2.6"/>
    <x v="22"/>
    <n v="77.599999999999994"/>
    <x v="16"/>
    <s v="2-D64"/>
    <x v="0"/>
    <s v="17+"/>
  </r>
  <r>
    <n v="98"/>
    <x v="3"/>
    <n v="2.1"/>
    <x v="38"/>
    <n v="72.099999999999994"/>
    <x v="26"/>
    <s v="2-D64"/>
    <x v="0"/>
    <s v="13-14"/>
  </r>
  <r>
    <n v="99"/>
    <x v="3"/>
    <n v="4.4000000000000004"/>
    <x v="0"/>
    <n v="78.7"/>
    <x v="25"/>
    <s v="2-D64"/>
    <x v="2"/>
    <s v="13-14"/>
  </r>
  <r>
    <n v="100"/>
    <x v="4"/>
    <n v="1.8"/>
    <x v="19"/>
    <n v="60.6"/>
    <x v="16"/>
    <s v="2-D64"/>
    <x v="1"/>
    <s v="13-14"/>
  </r>
  <r>
    <n v="101"/>
    <x v="0"/>
    <n v="1.6"/>
    <x v="43"/>
    <n v="61.2"/>
    <x v="0"/>
    <s v="&gt;4"/>
    <x v="1"/>
    <s v="15-16"/>
  </r>
  <r>
    <n v="102"/>
    <x v="4"/>
    <n v="2"/>
    <x v="9"/>
    <n v="72"/>
    <x v="15"/>
    <s v="2-D64"/>
    <x v="1"/>
    <s v="13-14"/>
  </r>
  <r>
    <n v="103"/>
    <x v="0"/>
    <n v="2.1"/>
    <x v="11"/>
    <n v="64"/>
    <x v="26"/>
    <s v="0-2"/>
    <x v="0"/>
    <s v="15-16"/>
  </r>
  <r>
    <n v="104"/>
    <x v="3"/>
    <n v="0"/>
    <x v="9"/>
    <n v="83"/>
    <x v="20"/>
    <s v="2-D64"/>
    <x v="1"/>
    <s v="13-14"/>
  </r>
  <r>
    <n v="105"/>
    <x v="4"/>
    <n v="0.5"/>
    <x v="30"/>
    <n v="63.7"/>
    <x v="16"/>
    <s v="2-D64"/>
    <x v="1"/>
    <s v="13-14"/>
  </r>
  <r>
    <n v="106"/>
    <x v="1"/>
    <n v="2.9"/>
    <x v="28"/>
    <n v="65"/>
    <x v="22"/>
    <s v="&gt;4"/>
    <x v="0"/>
    <s v="17+"/>
  </r>
  <r>
    <n v="107"/>
    <x v="2"/>
    <n v="2"/>
    <x v="30"/>
    <n v="74.2"/>
    <x v="11"/>
    <s v="2-D64"/>
    <x v="1"/>
    <s v="15-16"/>
  </r>
  <r>
    <n v="108"/>
    <x v="0"/>
    <n v="3.3"/>
    <x v="46"/>
    <n v="66.099999999999994"/>
    <x v="13"/>
    <s v="&gt;4"/>
    <x v="0"/>
    <s v="15-16"/>
  </r>
  <r>
    <n v="109"/>
    <x v="2"/>
    <n v="2.5"/>
    <x v="42"/>
    <n v="57.7"/>
    <x v="12"/>
    <s v="&gt;4"/>
    <x v="0"/>
    <s v="15-16"/>
  </r>
  <r>
    <n v="110"/>
    <x v="2"/>
    <n v="3"/>
    <x v="44"/>
    <n v="59"/>
    <x v="2"/>
    <s v="2-D64"/>
    <x v="0"/>
    <s v="15-16"/>
  </r>
  <r>
    <n v="111"/>
    <x v="4"/>
    <n v="2.1"/>
    <x v="29"/>
    <n v="75.400000000000006"/>
    <x v="9"/>
    <s v="&gt;4"/>
    <x v="0"/>
    <s v="13-14"/>
  </r>
  <r>
    <n v="112"/>
    <x v="2"/>
    <n v="2.9"/>
    <x v="11"/>
    <n v="56.4"/>
    <x v="4"/>
    <s v="0-2"/>
    <x v="0"/>
    <s v="15-16"/>
  </r>
  <r>
    <n v="113"/>
    <x v="1"/>
    <n v="4.2"/>
    <x v="5"/>
    <n v="84"/>
    <x v="2"/>
    <s v="&gt;4"/>
    <x v="2"/>
    <s v="17+"/>
  </r>
  <r>
    <n v="114"/>
    <x v="2"/>
    <n v="1.8"/>
    <x v="17"/>
    <n v="63.1"/>
    <x v="17"/>
    <s v="&gt;4"/>
    <x v="1"/>
    <s v="15-16"/>
  </r>
  <r>
    <n v="115"/>
    <x v="4"/>
    <n v="2.4"/>
    <x v="8"/>
    <n v="76.2"/>
    <x v="29"/>
    <s v="&gt;4"/>
    <x v="0"/>
    <s v="13-14"/>
  </r>
  <r>
    <n v="116"/>
    <x v="1"/>
    <n v="2"/>
    <x v="5"/>
    <n v="63.7"/>
    <x v="9"/>
    <s v="&gt;4"/>
    <x v="1"/>
    <s v="17+"/>
  </r>
  <r>
    <n v="117"/>
    <x v="3"/>
    <n v="4.0999999999999996"/>
    <x v="17"/>
    <n v="60.8"/>
    <x v="7"/>
    <s v="&gt;4"/>
    <x v="2"/>
    <s v="13-14"/>
  </r>
  <r>
    <n v="118"/>
    <x v="2"/>
    <n v="2.1"/>
    <x v="47"/>
    <n v="72.5"/>
    <x v="11"/>
    <s v="&gt;4"/>
    <x v="0"/>
    <s v="15-16"/>
  </r>
  <r>
    <n v="119"/>
    <x v="4"/>
    <n v="1.8"/>
    <x v="5"/>
    <n v="80.5"/>
    <x v="12"/>
    <s v="&gt;4"/>
    <x v="1"/>
    <s v="13-14"/>
  </r>
  <r>
    <n v="120"/>
    <x v="3"/>
    <n v="1.9"/>
    <x v="36"/>
    <n v="67.5"/>
    <x v="16"/>
    <s v="2-D64"/>
    <x v="1"/>
    <s v="13-14"/>
  </r>
  <r>
    <n v="121"/>
    <x v="3"/>
    <n v="2.4"/>
    <x v="48"/>
    <n v="69.3"/>
    <x v="16"/>
    <s v="0-2"/>
    <x v="0"/>
    <s v="13-14"/>
  </r>
  <r>
    <n v="122"/>
    <x v="0"/>
    <n v="1.7"/>
    <x v="45"/>
    <n v="78.099999999999994"/>
    <x v="11"/>
    <s v="&gt;4"/>
    <x v="1"/>
    <s v="15-16"/>
  </r>
  <r>
    <n v="123"/>
    <x v="1"/>
    <n v="2.1"/>
    <x v="9"/>
    <n v="78.400000000000006"/>
    <x v="14"/>
    <s v="2-D64"/>
    <x v="0"/>
    <s v="17+"/>
  </r>
  <r>
    <n v="124"/>
    <x v="2"/>
    <n v="2.7"/>
    <x v="27"/>
    <n v="69.599999999999994"/>
    <x v="22"/>
    <s v="&gt;4"/>
    <x v="0"/>
    <s v="15-16"/>
  </r>
  <r>
    <n v="125"/>
    <x v="4"/>
    <n v="2.4"/>
    <x v="45"/>
    <n v="65.599999999999994"/>
    <x v="29"/>
    <s v="&gt;4"/>
    <x v="0"/>
    <s v="13-14"/>
  </r>
  <r>
    <n v="126"/>
    <x v="0"/>
    <n v="3.3"/>
    <x v="2"/>
    <n v="70.8"/>
    <x v="9"/>
    <s v="&gt;4"/>
    <x v="0"/>
    <s v="15-16"/>
  </r>
  <r>
    <n v="127"/>
    <x v="1"/>
    <n v="2.2000000000000002"/>
    <x v="35"/>
    <n v="68.099999999999994"/>
    <x v="11"/>
    <s v="2-D64"/>
    <x v="0"/>
    <s v="17+"/>
  </r>
  <r>
    <n v="128"/>
    <x v="0"/>
    <n v="2.2999999999999998"/>
    <x v="42"/>
    <n v="73.099999999999994"/>
    <x v="21"/>
    <s v="&gt;4"/>
    <x v="0"/>
    <s v="15-16"/>
  </r>
  <r>
    <n v="129"/>
    <x v="1"/>
    <n v="2.8"/>
    <x v="16"/>
    <n v="58.1"/>
    <x v="19"/>
    <s v="&gt;4"/>
    <x v="0"/>
    <s v="17+"/>
  </r>
  <r>
    <n v="130"/>
    <x v="1"/>
    <n v="4.7"/>
    <x v="34"/>
    <n v="72.8"/>
    <x v="22"/>
    <s v="&gt;4"/>
    <x v="2"/>
    <s v="17+"/>
  </r>
  <r>
    <n v="131"/>
    <x v="2"/>
    <n v="1.7"/>
    <x v="39"/>
    <n v="62.8"/>
    <x v="12"/>
    <s v="0-2"/>
    <x v="1"/>
    <s v="15-16"/>
  </r>
  <r>
    <n v="132"/>
    <x v="1"/>
    <n v="4.4000000000000004"/>
    <x v="10"/>
    <n v="79.099999999999994"/>
    <x v="2"/>
    <s v="&gt;4"/>
    <x v="2"/>
    <s v="17+"/>
  </r>
  <r>
    <n v="133"/>
    <x v="0"/>
    <n v="1.3"/>
    <x v="7"/>
    <n v="63.3"/>
    <x v="12"/>
    <s v="&gt;4"/>
    <x v="1"/>
    <s v="15-16"/>
  </r>
  <r>
    <n v="134"/>
    <x v="1"/>
    <n v="2.7"/>
    <x v="31"/>
    <n v="63.4"/>
    <x v="20"/>
    <s v="0-2"/>
    <x v="0"/>
    <s v="17+"/>
  </r>
  <r>
    <n v="135"/>
    <x v="2"/>
    <n v="0"/>
    <x v="16"/>
    <n v="74.5"/>
    <x v="4"/>
    <s v="&gt;4"/>
    <x v="1"/>
    <s v="15-16"/>
  </r>
  <r>
    <n v="136"/>
    <x v="2"/>
    <n v="1.7"/>
    <x v="49"/>
    <n v="70.099999999999994"/>
    <x v="2"/>
    <s v="0-2"/>
    <x v="1"/>
    <s v="15-16"/>
  </r>
  <r>
    <n v="137"/>
    <x v="0"/>
    <n v="3.2"/>
    <x v="50"/>
    <n v="92.8"/>
    <x v="24"/>
    <s v="&gt;4"/>
    <x v="0"/>
    <s v="15-16"/>
  </r>
  <r>
    <n v="138"/>
    <x v="3"/>
    <n v="3.1"/>
    <x v="51"/>
    <n v="0"/>
    <x v="18"/>
    <s v="2-D64"/>
    <x v="0"/>
    <s v="13-14"/>
  </r>
  <r>
    <n v="139"/>
    <x v="3"/>
    <n v="2"/>
    <x v="25"/>
    <n v="71.099999999999994"/>
    <x v="9"/>
    <s v="&gt;4"/>
    <x v="1"/>
    <s v="13-14"/>
  </r>
  <r>
    <n v="140"/>
    <x v="1"/>
    <n v="0.4"/>
    <x v="3"/>
    <n v="81.3"/>
    <x v="17"/>
    <s v="2-D64"/>
    <x v="1"/>
    <s v="17+"/>
  </r>
  <r>
    <n v="141"/>
    <x v="4"/>
    <n v="2.1"/>
    <x v="27"/>
    <n v="64.2"/>
    <x v="18"/>
    <s v="&gt;4"/>
    <x v="0"/>
    <s v="13-14"/>
  </r>
  <r>
    <n v="142"/>
    <x v="1"/>
    <n v="2.6"/>
    <x v="19"/>
    <n v="60.9"/>
    <x v="4"/>
    <s v="2-D64"/>
    <x v="0"/>
    <s v="17+"/>
  </r>
  <r>
    <n v="143"/>
    <x v="0"/>
    <n v="2.5"/>
    <x v="52"/>
    <n v="61.3"/>
    <x v="14"/>
    <s v="&gt;4"/>
    <x v="0"/>
    <s v="15-16"/>
  </r>
  <r>
    <n v="144"/>
    <x v="0"/>
    <n v="3.3"/>
    <x v="9"/>
    <n v="53.9"/>
    <x v="26"/>
    <s v="2-D64"/>
    <x v="0"/>
    <s v="15-16"/>
  </r>
  <r>
    <n v="145"/>
    <x v="0"/>
    <n v="4.4000000000000004"/>
    <x v="16"/>
    <n v="83.5"/>
    <x v="0"/>
    <s v="&gt;4"/>
    <x v="2"/>
    <s v="15-16"/>
  </r>
  <r>
    <n v="146"/>
    <x v="0"/>
    <n v="2.9"/>
    <x v="1"/>
    <n v="66.7"/>
    <x v="30"/>
    <s v="2-D64"/>
    <x v="0"/>
    <s v="15-16"/>
  </r>
  <r>
    <n v="147"/>
    <x v="0"/>
    <n v="3.1"/>
    <x v="12"/>
    <n v="65.5"/>
    <x v="9"/>
    <s v="0-2"/>
    <x v="0"/>
    <s v="15-16"/>
  </r>
  <r>
    <n v="148"/>
    <x v="2"/>
    <n v="2.6"/>
    <x v="27"/>
    <n v="48.8"/>
    <x v="31"/>
    <s v="&gt;4"/>
    <x v="0"/>
    <s v="15-16"/>
  </r>
  <r>
    <n v="149"/>
    <x v="3"/>
    <n v="3.7"/>
    <x v="30"/>
    <n v="55.7"/>
    <x v="0"/>
    <s v="2-D64"/>
    <x v="0"/>
    <s v="13-14"/>
  </r>
  <r>
    <n v="150"/>
    <x v="0"/>
    <n v="3"/>
    <x v="14"/>
    <n v="84.7"/>
    <x v="28"/>
    <s v="&gt;4"/>
    <x v="0"/>
    <s v="15-16"/>
  </r>
  <r>
    <n v="151"/>
    <x v="4"/>
    <n v="3.2"/>
    <x v="9"/>
    <n v="73"/>
    <x v="0"/>
    <s v="2-D64"/>
    <x v="0"/>
    <s v="13-14"/>
  </r>
  <r>
    <n v="152"/>
    <x v="4"/>
    <n v="4.3"/>
    <x v="32"/>
    <n v="81.7"/>
    <x v="2"/>
    <s v="2-D64"/>
    <x v="2"/>
    <s v="13-14"/>
  </r>
  <r>
    <n v="153"/>
    <x v="4"/>
    <n v="2.7"/>
    <x v="53"/>
    <n v="80.400000000000006"/>
    <x v="4"/>
    <s v="&gt;4"/>
    <x v="0"/>
    <s v="13-14"/>
  </r>
  <r>
    <n v="154"/>
    <x v="4"/>
    <n v="2.2000000000000002"/>
    <x v="54"/>
    <n v="60"/>
    <x v="13"/>
    <s v="&gt;4"/>
    <x v="0"/>
    <s v="13-14"/>
  </r>
  <r>
    <n v="155"/>
    <x v="2"/>
    <n v="2.9"/>
    <x v="17"/>
    <n v="94.3"/>
    <x v="15"/>
    <s v="&gt;4"/>
    <x v="0"/>
    <s v="15-16"/>
  </r>
  <r>
    <n v="156"/>
    <x v="4"/>
    <n v="3.6"/>
    <x v="9"/>
    <n v="89.5"/>
    <x v="9"/>
    <s v="2-D64"/>
    <x v="0"/>
    <s v="13-14"/>
  </r>
  <r>
    <n v="157"/>
    <x v="0"/>
    <n v="3"/>
    <x v="44"/>
    <n v="64.400000000000006"/>
    <x v="4"/>
    <s v="2-D64"/>
    <x v="0"/>
    <s v="15-16"/>
  </r>
  <r>
    <n v="158"/>
    <x v="1"/>
    <n v="3.6"/>
    <x v="3"/>
    <n v="34.299999999999997"/>
    <x v="24"/>
    <s v="2-D64"/>
    <x v="0"/>
    <s v="17+"/>
  </r>
  <r>
    <n v="159"/>
    <x v="4"/>
    <n v="1.8"/>
    <x v="24"/>
    <n v="66.400000000000006"/>
    <x v="30"/>
    <s v="2-D64"/>
    <x v="1"/>
    <s v="13-14"/>
  </r>
  <r>
    <n v="160"/>
    <x v="2"/>
    <n v="1.6"/>
    <x v="9"/>
    <n v="72.400000000000006"/>
    <x v="7"/>
    <s v="2-D64"/>
    <x v="1"/>
    <s v="15-16"/>
  </r>
  <r>
    <n v="161"/>
    <x v="2"/>
    <n v="2"/>
    <x v="45"/>
    <n v="64.3"/>
    <x v="19"/>
    <s v="&gt;4"/>
    <x v="1"/>
    <s v="15-16"/>
  </r>
  <r>
    <n v="162"/>
    <x v="4"/>
    <n v="1.2"/>
    <x v="35"/>
    <n v="67.8"/>
    <x v="2"/>
    <s v="2-D64"/>
    <x v="1"/>
    <s v="13-14"/>
  </r>
  <r>
    <n v="163"/>
    <x v="1"/>
    <n v="2.6"/>
    <x v="37"/>
    <n v="61.7"/>
    <x v="14"/>
    <s v="2-D64"/>
    <x v="0"/>
    <s v="17+"/>
  </r>
  <r>
    <n v="164"/>
    <x v="4"/>
    <n v="2.1"/>
    <x v="8"/>
    <n v="79.2"/>
    <x v="11"/>
    <s v="&gt;4"/>
    <x v="0"/>
    <s v="13-14"/>
  </r>
  <r>
    <n v="165"/>
    <x v="2"/>
    <n v="3.7"/>
    <x v="2"/>
    <n v="70.599999999999994"/>
    <x v="21"/>
    <s v="&gt;4"/>
    <x v="0"/>
    <s v="15-16"/>
  </r>
  <r>
    <n v="166"/>
    <x v="3"/>
    <n v="1.2"/>
    <x v="8"/>
    <n v="79.5"/>
    <x v="13"/>
    <s v="&gt;4"/>
    <x v="1"/>
    <s v="13-14"/>
  </r>
  <r>
    <n v="167"/>
    <x v="0"/>
    <n v="4.0999999999999996"/>
    <x v="17"/>
    <n v="82.2"/>
    <x v="11"/>
    <s v="&gt;4"/>
    <x v="2"/>
    <s v="15-16"/>
  </r>
  <r>
    <n v="168"/>
    <x v="2"/>
    <n v="1.5"/>
    <x v="8"/>
    <n v="48.3"/>
    <x v="0"/>
    <s v="&gt;4"/>
    <x v="1"/>
    <s v="15-16"/>
  </r>
  <r>
    <n v="169"/>
    <x v="4"/>
    <n v="1.3"/>
    <x v="17"/>
    <n v="62.3"/>
    <x v="14"/>
    <s v="&gt;4"/>
    <x v="1"/>
    <s v="13-14"/>
  </r>
  <r>
    <n v="170"/>
    <x v="0"/>
    <n v="1.7"/>
    <x v="3"/>
    <n v="63.8"/>
    <x v="2"/>
    <s v="2-D64"/>
    <x v="1"/>
    <s v="15-16"/>
  </r>
  <r>
    <n v="171"/>
    <x v="4"/>
    <n v="4.5"/>
    <x v="11"/>
    <n v="95.7"/>
    <x v="2"/>
    <s v="0-2"/>
    <x v="2"/>
    <s v="13-14"/>
  </r>
  <r>
    <n v="172"/>
    <x v="4"/>
    <n v="2.5"/>
    <x v="5"/>
    <n v="71.5"/>
    <x v="13"/>
    <s v="&gt;4"/>
    <x v="0"/>
    <s v="13-14"/>
  </r>
  <r>
    <n v="173"/>
    <x v="3"/>
    <n v="3"/>
    <x v="7"/>
    <n v="0"/>
    <x v="0"/>
    <s v="&gt;4"/>
    <x v="0"/>
    <s v="13-14"/>
  </r>
  <r>
    <n v="174"/>
    <x v="0"/>
    <n v="2.2999999999999998"/>
    <x v="3"/>
    <n v="51.2"/>
    <x v="20"/>
    <s v="2-D64"/>
    <x v="0"/>
    <s v="15-16"/>
  </r>
  <r>
    <n v="175"/>
    <x v="0"/>
    <n v="2.4"/>
    <x v="16"/>
    <n v="71.400000000000006"/>
    <x v="14"/>
    <s v="&gt;4"/>
    <x v="0"/>
    <s v="15-16"/>
  </r>
  <r>
    <n v="176"/>
    <x v="3"/>
    <n v="2"/>
    <x v="26"/>
    <n v="79.8"/>
    <x v="32"/>
    <s v="&gt;4"/>
    <x v="1"/>
    <s v="13-14"/>
  </r>
  <r>
    <n v="177"/>
    <x v="2"/>
    <n v="2.6"/>
    <x v="37"/>
    <n v="78.599999999999994"/>
    <x v="3"/>
    <s v="2-D64"/>
    <x v="0"/>
    <s v="15-16"/>
  </r>
  <r>
    <n v="178"/>
    <x v="4"/>
    <n v="3"/>
    <x v="55"/>
    <n v="76.2"/>
    <x v="9"/>
    <s v="0-2"/>
    <x v="0"/>
    <s v="13-14"/>
  </r>
  <r>
    <n v="179"/>
    <x v="1"/>
    <n v="4.2"/>
    <x v="5"/>
    <n v="70.099999999999994"/>
    <x v="24"/>
    <s v="&gt;4"/>
    <x v="2"/>
    <s v="17+"/>
  </r>
  <r>
    <n v="180"/>
    <x v="4"/>
    <n v="0.6"/>
    <x v="36"/>
    <n v="70.599999999999994"/>
    <x v="0"/>
    <s v="2-D64"/>
    <x v="1"/>
    <s v="13-14"/>
  </r>
  <r>
    <n v="181"/>
    <x v="4"/>
    <n v="4.0999999999999996"/>
    <x v="5"/>
    <n v="53.1"/>
    <x v="19"/>
    <s v="&gt;4"/>
    <x v="2"/>
    <s v="13-14"/>
  </r>
  <r>
    <n v="182"/>
    <x v="2"/>
    <n v="3"/>
    <x v="56"/>
    <n v="61"/>
    <x v="17"/>
    <s v="2-D64"/>
    <x v="0"/>
    <s v="15-16"/>
  </r>
  <r>
    <n v="183"/>
    <x v="4"/>
    <n v="2.1"/>
    <x v="39"/>
    <n v="72.3"/>
    <x v="17"/>
    <s v="0-2"/>
    <x v="0"/>
    <s v="13-14"/>
  </r>
  <r>
    <n v="184"/>
    <x v="3"/>
    <n v="2"/>
    <x v="2"/>
    <n v="62.8"/>
    <x v="1"/>
    <s v="&gt;4"/>
    <x v="1"/>
    <s v="13-14"/>
  </r>
  <r>
    <n v="185"/>
    <x v="3"/>
    <n v="3.5"/>
    <x v="15"/>
    <n v="76.900000000000006"/>
    <x v="3"/>
    <s v="2-D64"/>
    <x v="0"/>
    <s v="13-14"/>
  </r>
  <r>
    <n v="186"/>
    <x v="0"/>
    <n v="2.7"/>
    <x v="11"/>
    <n v="74.7"/>
    <x v="19"/>
    <s v="0-2"/>
    <x v="0"/>
    <s v="15-16"/>
  </r>
  <r>
    <n v="187"/>
    <x v="1"/>
    <n v="1"/>
    <x v="18"/>
    <n v="83.7"/>
    <x v="12"/>
    <s v="&gt;4"/>
    <x v="1"/>
    <s v="17+"/>
  </r>
  <r>
    <n v="188"/>
    <x v="4"/>
    <n v="2.9"/>
    <x v="12"/>
    <n v="79.599999999999994"/>
    <x v="4"/>
    <s v="0-2"/>
    <x v="0"/>
    <s v="13-14"/>
  </r>
  <r>
    <n v="189"/>
    <x v="4"/>
    <n v="3.6"/>
    <x v="57"/>
    <n v="72.3"/>
    <x v="2"/>
    <s v="&gt;4"/>
    <x v="0"/>
    <s v="13-14"/>
  </r>
  <r>
    <n v="190"/>
    <x v="2"/>
    <n v="3.4"/>
    <x v="24"/>
    <n v="77.5"/>
    <x v="14"/>
    <s v="2-D64"/>
    <x v="0"/>
    <s v="15-16"/>
  </r>
  <r>
    <n v="191"/>
    <x v="3"/>
    <n v="1.9"/>
    <x v="7"/>
    <n v="80.099999999999994"/>
    <x v="17"/>
    <s v="&gt;4"/>
    <x v="1"/>
    <s v="13-14"/>
  </r>
  <r>
    <n v="192"/>
    <x v="1"/>
    <n v="1.2"/>
    <x v="53"/>
    <n v="64.900000000000006"/>
    <x v="9"/>
    <s v="&gt;4"/>
    <x v="1"/>
    <s v="17+"/>
  </r>
  <r>
    <n v="193"/>
    <x v="0"/>
    <n v="2.2000000000000002"/>
    <x v="58"/>
    <n v="66.7"/>
    <x v="8"/>
    <s v="&gt;4"/>
    <x v="0"/>
    <s v="15-16"/>
  </r>
  <r>
    <n v="194"/>
    <x v="3"/>
    <n v="5.8"/>
    <x v="59"/>
    <n v="69"/>
    <x v="3"/>
    <s v="&gt;4"/>
    <x v="2"/>
    <s v="13-14"/>
  </r>
  <r>
    <n v="195"/>
    <x v="0"/>
    <n v="1"/>
    <x v="39"/>
    <n v="65.2"/>
    <x v="7"/>
    <s v="0-2"/>
    <x v="1"/>
    <s v="15-16"/>
  </r>
  <r>
    <n v="196"/>
    <x v="2"/>
    <n v="1.7"/>
    <x v="51"/>
    <n v="80.2"/>
    <x v="19"/>
    <s v="2-D64"/>
    <x v="1"/>
    <s v="15-16"/>
  </r>
  <r>
    <n v="197"/>
    <x v="2"/>
    <n v="2.9"/>
    <x v="2"/>
    <n v="63.7"/>
    <x v="11"/>
    <s v="&gt;4"/>
    <x v="0"/>
    <s v="15-16"/>
  </r>
  <r>
    <n v="198"/>
    <x v="4"/>
    <n v="2.4"/>
    <x v="28"/>
    <n v="82.5"/>
    <x v="19"/>
    <s v="&gt;4"/>
    <x v="0"/>
    <s v="13-14"/>
  </r>
  <r>
    <n v="199"/>
    <x v="1"/>
    <n v="2.2999999999999998"/>
    <x v="1"/>
    <n v="66.3"/>
    <x v="1"/>
    <s v="2-D64"/>
    <x v="0"/>
    <s v="17+"/>
  </r>
  <r>
    <n v="200"/>
    <x v="0"/>
    <n v="4.5"/>
    <x v="55"/>
    <n v="74.7"/>
    <x v="0"/>
    <s v="0-2"/>
    <x v="2"/>
    <s v="15-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n v="1"/>
    <n v="16"/>
    <n v="2.5"/>
    <n v="2.7"/>
    <n v="75"/>
    <n v="1.6"/>
    <s v="2-D64"/>
    <s v="3-4 hrs"/>
    <s v="15-16"/>
    <x v="0"/>
  </r>
  <r>
    <n v="2"/>
    <n v="17"/>
    <n v="2.7"/>
    <n v="4"/>
    <n v="68.099999999999994"/>
    <n v="0.7"/>
    <s v="2-D64"/>
    <s v="3-4 hrs"/>
    <s v="17+"/>
    <x v="0"/>
  </r>
  <r>
    <n v="3"/>
    <n v="15"/>
    <n v="3"/>
    <n v="4.3"/>
    <n v="67.900000000000006"/>
    <n v="1.5"/>
    <s v="&gt;4"/>
    <s v="3-4 hrs"/>
    <s v="15-16"/>
    <x v="1"/>
  </r>
  <r>
    <n v="4"/>
    <n v="17"/>
    <n v="3"/>
    <n v="2.8"/>
    <n v="47.2"/>
    <n v="1.8"/>
    <s v="2-D64"/>
    <s v="3-4 hrs"/>
    <s v="17+"/>
    <x v="0"/>
  </r>
  <r>
    <n v="5"/>
    <n v="17"/>
    <n v="0"/>
    <n v="1.8"/>
    <n v="78"/>
    <n v="1.4"/>
    <s v="0-2"/>
    <s v="0-2 hrs"/>
    <s v="17+"/>
    <x v="2"/>
  </r>
  <r>
    <n v="6"/>
    <n v="14"/>
    <n v="1.3"/>
    <n v="4.4000000000000004"/>
    <n v="71.5"/>
    <n v="0.4"/>
    <s v="&gt;4"/>
    <s v="0-2 hrs"/>
    <s v="13-14"/>
    <x v="1"/>
  </r>
  <r>
    <n v="7"/>
    <n v="15"/>
    <n v="3.3"/>
    <n v="6.7"/>
    <n v="88"/>
    <n v="2.9"/>
    <s v="&gt;4"/>
    <s v="3-4 hrs"/>
    <s v="15-16"/>
    <x v="3"/>
  </r>
  <r>
    <n v="8"/>
    <n v="15"/>
    <n v="2.9"/>
    <n v="4.5999999999999996"/>
    <n v="69.3"/>
    <n v="1.6"/>
    <s v="&gt;4"/>
    <s v="3-4 hrs"/>
    <s v="15-16"/>
    <x v="1"/>
  </r>
  <r>
    <n v="9"/>
    <n v="15"/>
    <n v="1.4"/>
    <n v="4.0999999999999996"/>
    <n v="75.7"/>
    <n v="0.9"/>
    <s v="&gt;4"/>
    <s v="0-2 hrs"/>
    <s v="15-16"/>
    <x v="1"/>
  </r>
  <r>
    <n v="10"/>
    <n v="17"/>
    <n v="1.8"/>
    <n v="4.0999999999999996"/>
    <n v="78.3"/>
    <n v="2.8"/>
    <s v="&gt;4"/>
    <s v="0-2 hrs"/>
    <s v="17+"/>
    <x v="1"/>
  </r>
  <r>
    <n v="11"/>
    <n v="16"/>
    <n v="3.4"/>
    <n v="3.6"/>
    <n v="52.5"/>
    <n v="2"/>
    <s v="2-D64"/>
    <s v="3-4 hrs"/>
    <s v="15-16"/>
    <x v="0"/>
  </r>
  <r>
    <n v="12"/>
    <n v="15"/>
    <n v="3.1"/>
    <n v="5.8"/>
    <n v="96.2"/>
    <n v="0.5"/>
    <s v="&gt;4"/>
    <s v="3-4 hrs"/>
    <s v="15-16"/>
    <x v="1"/>
  </r>
  <r>
    <n v="13"/>
    <n v="17"/>
    <n v="1.8"/>
    <n v="0"/>
    <n v="65.7"/>
    <n v="0.7"/>
    <s v="0-2"/>
    <s v="0-2 hrs"/>
    <s v="17+"/>
    <x v="2"/>
  </r>
  <r>
    <n v="14"/>
    <n v="14"/>
    <n v="2.2000000000000002"/>
    <n v="2"/>
    <n v="74.900000000000006"/>
    <n v="1.3"/>
    <s v="0-2"/>
    <s v="3-4 hrs"/>
    <s v="13-14"/>
    <x v="2"/>
  </r>
  <r>
    <n v="15"/>
    <n v="16"/>
    <n v="2.4"/>
    <n v="1.6"/>
    <n v="76.400000000000006"/>
    <n v="1.7"/>
    <s v="0-2"/>
    <s v="3-4 hrs"/>
    <s v="15-16"/>
    <x v="2"/>
  </r>
  <r>
    <n v="16"/>
    <n v="14"/>
    <n v="3.1"/>
    <n v="4.0999999999999996"/>
    <n v="61.9"/>
    <n v="2"/>
    <s v="&gt;4"/>
    <s v="3-4 hrs"/>
    <s v="13-14"/>
    <x v="1"/>
  </r>
  <r>
    <n v="17"/>
    <n v="16"/>
    <n v="3.7"/>
    <n v="5.6"/>
    <n v="88.5"/>
    <n v="2.2999999999999998"/>
    <s v="&gt;4"/>
    <s v="3-4 hrs"/>
    <s v="15-16"/>
    <x v="1"/>
  </r>
  <r>
    <n v="18"/>
    <n v="17"/>
    <n v="2.6"/>
    <n v="4.4000000000000004"/>
    <n v="72.7"/>
    <n v="1.9"/>
    <s v="&gt;4"/>
    <s v="3-4 hrs"/>
    <s v="17+"/>
    <x v="1"/>
  </r>
  <r>
    <n v="19"/>
    <n v="13"/>
    <n v="0"/>
    <n v="3.5"/>
    <n v="67.900000000000006"/>
    <n v="2.6"/>
    <s v="2-D64"/>
    <s v="0-2 hrs"/>
    <s v="13-14"/>
    <x v="0"/>
  </r>
  <r>
    <n v="20"/>
    <n v="16"/>
    <n v="3.4"/>
    <n v="4.7"/>
    <n v="71.400000000000006"/>
    <n v="1.6"/>
    <s v="&gt;4"/>
    <s v="3-4 hrs"/>
    <s v="15-16"/>
    <x v="1"/>
  </r>
  <r>
    <n v="21"/>
    <n v="14"/>
    <n v="2.7"/>
    <n v="4.3"/>
    <n v="77.599999999999994"/>
    <n v="0.9"/>
    <s v="&gt;4"/>
    <s v="3-4 hrs"/>
    <s v="13-14"/>
    <x v="1"/>
  </r>
  <r>
    <n v="22"/>
    <n v="17"/>
    <n v="1.1000000000000001"/>
    <n v="5.2"/>
    <n v="70.099999999999994"/>
    <n v="1.5"/>
    <s v="&gt;4"/>
    <s v="0-2 hrs"/>
    <s v="17+"/>
    <x v="1"/>
  </r>
  <r>
    <n v="23"/>
    <n v="16"/>
    <n v="1.5"/>
    <n v="6"/>
    <n v="78.8"/>
    <n v="1.4"/>
    <s v="&gt;4"/>
    <s v="0-2 hrs"/>
    <s v="15-16"/>
    <x v="1"/>
  </r>
  <r>
    <n v="24"/>
    <n v="13"/>
    <n v="3.2"/>
    <n v="2.6"/>
    <n v="53.2"/>
    <n v="0"/>
    <s v="2-D64"/>
    <s v="3-4 hrs"/>
    <s v="13-14"/>
    <x v="0"/>
  </r>
  <r>
    <n v="25"/>
    <n v="13"/>
    <n v="0.8"/>
    <n v="0.5"/>
    <n v="62.5"/>
    <n v="1.1000000000000001"/>
    <s v="0-2"/>
    <s v="0-2 hrs"/>
    <s v="13-14"/>
    <x v="2"/>
  </r>
  <r>
    <n v="26"/>
    <n v="15"/>
    <n v="2.6"/>
    <n v="3.5"/>
    <n v="48.6"/>
    <n v="1.8"/>
    <s v="2-D64"/>
    <s v="3-4 hrs"/>
    <s v="15-16"/>
    <x v="0"/>
  </r>
  <r>
    <n v="27"/>
    <n v="15"/>
    <n v="3.5"/>
    <n v="2.5"/>
    <n v="90"/>
    <n v="1.2"/>
    <s v="2-D64"/>
    <s v="3-4 hrs"/>
    <s v="15-16"/>
    <x v="0"/>
  </r>
  <r>
    <n v="28"/>
    <n v="14"/>
    <n v="2.7"/>
    <n v="5.2"/>
    <n v="89.8"/>
    <n v="1"/>
    <s v="&gt;4"/>
    <s v="3-4 hrs"/>
    <s v="13-14"/>
    <x v="1"/>
  </r>
  <r>
    <n v="29"/>
    <n v="16"/>
    <n v="1.9"/>
    <n v="2.9"/>
    <n v="76.3"/>
    <n v="2.2000000000000002"/>
    <s v="2-D64"/>
    <s v="0-2 hrs"/>
    <s v="15-16"/>
    <x v="0"/>
  </r>
  <r>
    <n v="30"/>
    <n v="16"/>
    <n v="1.7"/>
    <n v="1.2"/>
    <n v="59.9"/>
    <n v="0.8"/>
    <s v="0-2"/>
    <s v="0-2 hrs"/>
    <s v="15-16"/>
    <x v="2"/>
  </r>
  <r>
    <n v="31"/>
    <n v="15"/>
    <n v="3.3"/>
    <n v="3.1"/>
    <n v="93.9"/>
    <n v="2.1"/>
    <s v="2-D64"/>
    <s v="3-4 hrs"/>
    <s v="15-16"/>
    <x v="0"/>
  </r>
  <r>
    <n v="32"/>
    <n v="16"/>
    <n v="3"/>
    <n v="1.8"/>
    <n v="64"/>
    <n v="0.4"/>
    <s v="0-2"/>
    <s v="3-4 hrs"/>
    <s v="15-16"/>
    <x v="2"/>
  </r>
  <r>
    <n v="33"/>
    <n v="16"/>
    <n v="2.2000000000000002"/>
    <n v="6.4"/>
    <n v="67.900000000000006"/>
    <n v="3.7"/>
    <s v="&gt;4"/>
    <s v="3-4 hrs"/>
    <s v="15-16"/>
    <x v="3"/>
  </r>
  <r>
    <n v="34"/>
    <n v="13"/>
    <n v="3.6"/>
    <n v="4.7"/>
    <n v="71.599999999999994"/>
    <n v="1.3"/>
    <s v="&gt;4"/>
    <s v="3-4 hrs"/>
    <s v="13-14"/>
    <x v="1"/>
  </r>
  <r>
    <n v="35"/>
    <n v="15"/>
    <n v="3.4"/>
    <n v="5"/>
    <n v="74.5"/>
    <n v="1.2"/>
    <s v="&gt;4"/>
    <s v="3-4 hrs"/>
    <s v="15-16"/>
    <x v="1"/>
  </r>
  <r>
    <n v="36"/>
    <n v="17"/>
    <n v="4.3"/>
    <n v="4.8"/>
    <n v="76.400000000000006"/>
    <n v="2.4"/>
    <s v="&gt;4"/>
    <s v="5-6 hrs"/>
    <s v="17+"/>
    <x v="1"/>
  </r>
  <r>
    <n v="37"/>
    <n v="15"/>
    <n v="3.1"/>
    <n v="5.3"/>
    <n v="76.8"/>
    <n v="1.2"/>
    <s v="&gt;4"/>
    <s v="3-4 hrs"/>
    <s v="15-16"/>
    <x v="1"/>
  </r>
  <r>
    <n v="38"/>
    <n v="17"/>
    <n v="2.2999999999999998"/>
    <n v="5.7"/>
    <n v="0"/>
    <n v="2.7"/>
    <s v="&gt;4"/>
    <s v="3-4 hrs"/>
    <s v="17+"/>
    <x v="1"/>
  </r>
  <r>
    <n v="39"/>
    <n v="13"/>
    <n v="2.4"/>
    <n v="3.2"/>
    <n v="76.7"/>
    <n v="1.8"/>
    <s v="2-D64"/>
    <s v="3-4 hrs"/>
    <s v="13-14"/>
    <x v="0"/>
  </r>
  <r>
    <n v="40"/>
    <n v="14"/>
    <n v="0.6"/>
    <n v="1.9"/>
    <n v="0"/>
    <n v="1.4"/>
    <s v="0-2"/>
    <s v="0-2 hrs"/>
    <s v="13-14"/>
    <x v="2"/>
  </r>
  <r>
    <n v="41"/>
    <n v="16"/>
    <n v="2.7"/>
    <n v="2.7"/>
    <n v="75.8"/>
    <n v="1.3"/>
    <s v="2-D64"/>
    <s v="3-4 hrs"/>
    <s v="15-16"/>
    <x v="0"/>
  </r>
  <r>
    <n v="42"/>
    <n v="13"/>
    <n v="0"/>
    <n v="3.9"/>
    <n v="75"/>
    <n v="2.5"/>
    <s v="2-D64"/>
    <s v="0-2 hrs"/>
    <s v="13-14"/>
    <x v="0"/>
  </r>
  <r>
    <n v="43"/>
    <n v="16"/>
    <n v="1.2"/>
    <n v="0.2"/>
    <n v="77.599999999999994"/>
    <n v="1.7"/>
    <s v="0-2"/>
    <s v="0-2 hrs"/>
    <s v="15-16"/>
    <x v="2"/>
  </r>
  <r>
    <n v="44"/>
    <n v="14"/>
    <n v="2.5"/>
    <n v="5.7"/>
    <n v="76.400000000000006"/>
    <n v="1.8"/>
    <s v="&gt;4"/>
    <s v="3-4 hrs"/>
    <s v="13-14"/>
    <x v="1"/>
  </r>
  <r>
    <n v="45"/>
    <n v="14"/>
    <n v="3.8"/>
    <n v="1.2"/>
    <n v="65.599999999999994"/>
    <n v="1.9"/>
    <s v="0-2"/>
    <s v="3-4 hrs"/>
    <s v="13-14"/>
    <x v="2"/>
  </r>
  <r>
    <n v="46"/>
    <n v="13"/>
    <n v="1.8"/>
    <n v="4.9000000000000004"/>
    <n v="74.599999999999994"/>
    <n v="1.6"/>
    <s v="&gt;4"/>
    <s v="0-2 hrs"/>
    <s v="13-14"/>
    <x v="1"/>
  </r>
  <r>
    <n v="47"/>
    <n v="14"/>
    <n v="1.5"/>
    <n v="3.7"/>
    <n v="76.5"/>
    <n v="1.9"/>
    <s v="2-D64"/>
    <s v="0-2 hrs"/>
    <s v="13-14"/>
    <x v="0"/>
  </r>
  <r>
    <n v="48"/>
    <n v="17"/>
    <n v="3.6"/>
    <n v="4.4000000000000004"/>
    <n v="57.1"/>
    <n v="1.4"/>
    <s v="&gt;4"/>
    <s v="3-4 hrs"/>
    <s v="17+"/>
    <x v="1"/>
  </r>
  <r>
    <n v="49"/>
    <n v="14"/>
    <n v="3.1"/>
    <n v="3.3"/>
    <n v="67.3"/>
    <n v="1.5"/>
    <s v="2-D64"/>
    <s v="3-4 hrs"/>
    <s v="13-14"/>
    <x v="0"/>
  </r>
  <r>
    <n v="50"/>
    <n v="16"/>
    <n v="5.6"/>
    <n v="4.3"/>
    <n v="76.099999999999994"/>
    <n v="0.6"/>
    <s v="&gt;4"/>
    <s v="5-6 hrs"/>
    <s v="15-16"/>
    <x v="1"/>
  </r>
  <r>
    <n v="51"/>
    <n v="16"/>
    <n v="1.2"/>
    <n v="3.3"/>
    <n v="87.1"/>
    <n v="1.7"/>
    <s v="2-D64"/>
    <s v="0-2 hrs"/>
    <s v="15-16"/>
    <x v="0"/>
  </r>
  <r>
    <n v="52"/>
    <n v="16"/>
    <n v="3.2"/>
    <n v="3.2"/>
    <n v="78.2"/>
    <n v="0.1"/>
    <s v="2-D64"/>
    <s v="3-4 hrs"/>
    <s v="15-16"/>
    <x v="0"/>
  </r>
  <r>
    <n v="53"/>
    <n v="16"/>
    <n v="2.8"/>
    <n v="2.7"/>
    <n v="87.7"/>
    <n v="1.7"/>
    <s v="2-D64"/>
    <s v="3-4 hrs"/>
    <s v="15-16"/>
    <x v="0"/>
  </r>
  <r>
    <n v="54"/>
    <n v="17"/>
    <n v="2.6"/>
    <n v="0"/>
    <n v="66"/>
    <n v="1.3"/>
    <s v="0-2"/>
    <s v="3-4 hrs"/>
    <s v="17+"/>
    <x v="2"/>
  </r>
  <r>
    <n v="55"/>
    <n v="15"/>
    <n v="3.4"/>
    <n v="4.5999999999999996"/>
    <n v="72.5"/>
    <n v="1.8"/>
    <s v="&gt;4"/>
    <s v="3-4 hrs"/>
    <s v="15-16"/>
    <x v="1"/>
  </r>
  <r>
    <n v="56"/>
    <n v="13"/>
    <n v="2.5"/>
    <n v="4.3"/>
    <n v="78.099999999999994"/>
    <n v="0.7"/>
    <s v="&gt;4"/>
    <s v="3-4 hrs"/>
    <s v="13-14"/>
    <x v="1"/>
  </r>
  <r>
    <n v="57"/>
    <n v="16"/>
    <n v="0.6"/>
    <n v="2.7"/>
    <n v="46.7"/>
    <n v="0"/>
    <s v="2-D64"/>
    <s v="0-2 hrs"/>
    <s v="15-16"/>
    <x v="0"/>
  </r>
  <r>
    <n v="58"/>
    <n v="14"/>
    <n v="1.7"/>
    <n v="3.6"/>
    <n v="0"/>
    <n v="1.2"/>
    <s v="2-D64"/>
    <s v="0-2 hrs"/>
    <s v="13-14"/>
    <x v="0"/>
  </r>
  <r>
    <n v="59"/>
    <n v="16"/>
    <n v="3.9"/>
    <n v="2.5"/>
    <n v="51.4"/>
    <n v="0.7"/>
    <s v="2-D64"/>
    <s v="3-4 hrs"/>
    <s v="15-16"/>
    <x v="0"/>
  </r>
  <r>
    <n v="60"/>
    <n v="14"/>
    <n v="3.7"/>
    <n v="3.3"/>
    <n v="80"/>
    <n v="0.1"/>
    <s v="2-D64"/>
    <s v="3-4 hrs"/>
    <s v="13-14"/>
    <x v="0"/>
  </r>
  <r>
    <n v="61"/>
    <n v="14"/>
    <n v="2.1"/>
    <n v="2.2000000000000002"/>
    <n v="76.900000000000006"/>
    <n v="2.1"/>
    <s v="2-D64"/>
    <s v="3-4 hrs"/>
    <s v="13-14"/>
    <x v="0"/>
  </r>
  <r>
    <n v="62"/>
    <n v="16"/>
    <n v="3"/>
    <n v="6.4"/>
    <n v="46.6"/>
    <n v="2.8"/>
    <s v="&gt;4"/>
    <s v="3-4 hrs"/>
    <s v="15-16"/>
    <x v="3"/>
  </r>
  <r>
    <n v="63"/>
    <n v="17"/>
    <n v="5.3"/>
    <n v="0"/>
    <n v="47.1"/>
    <n v="0.9"/>
    <s v="0-2"/>
    <s v="5-6 hrs"/>
    <s v="17+"/>
    <x v="2"/>
  </r>
  <r>
    <n v="64"/>
    <n v="14"/>
    <n v="2.5"/>
    <n v="2.7"/>
    <n v="0"/>
    <n v="1.4"/>
    <s v="2-D64"/>
    <s v="3-4 hrs"/>
    <s v="13-14"/>
    <x v="0"/>
  </r>
  <r>
    <n v="65"/>
    <n v="14"/>
    <n v="2.5"/>
    <n v="2"/>
    <n v="82.1"/>
    <n v="1.3"/>
    <s v="0-2"/>
    <s v="3-4 hrs"/>
    <s v="13-14"/>
    <x v="2"/>
  </r>
  <r>
    <n v="66"/>
    <n v="16"/>
    <n v="2.7"/>
    <n v="2.8"/>
    <n v="61.2"/>
    <n v="1"/>
    <s v="2-D64"/>
    <s v="3-4 hrs"/>
    <s v="15-16"/>
    <x v="0"/>
  </r>
  <r>
    <n v="67"/>
    <n v="14"/>
    <n v="3.1"/>
    <n v="3.3"/>
    <n v="61.2"/>
    <n v="2"/>
    <s v="2-D64"/>
    <s v="3-4 hrs"/>
    <s v="13-14"/>
    <x v="0"/>
  </r>
  <r>
    <n v="68"/>
    <n v="14"/>
    <n v="2.2000000000000002"/>
    <n v="3.9"/>
    <n v="75.099999999999994"/>
    <n v="2.2999999999999998"/>
    <s v="2-D64"/>
    <s v="3-4 hrs"/>
    <s v="13-14"/>
    <x v="0"/>
  </r>
  <r>
    <n v="69"/>
    <n v="16"/>
    <n v="3.1"/>
    <n v="3"/>
    <n v="69.900000000000006"/>
    <n v="0.8"/>
    <s v="2-D64"/>
    <s v="3-4 hrs"/>
    <s v="15-16"/>
    <x v="0"/>
  </r>
  <r>
    <n v="70"/>
    <n v="16"/>
    <n v="0.6"/>
    <n v="1.6"/>
    <n v="80.5"/>
    <n v="1.5"/>
    <s v="0-2"/>
    <s v="0-2 hrs"/>
    <s v="15-16"/>
    <x v="2"/>
  </r>
  <r>
    <n v="71"/>
    <n v="13"/>
    <n v="2.8"/>
    <n v="1.7"/>
    <n v="74.8"/>
    <n v="2.5"/>
    <s v="0-2"/>
    <s v="3-4 hrs"/>
    <s v="13-14"/>
    <x v="2"/>
  </r>
  <r>
    <n v="72"/>
    <n v="17"/>
    <n v="2.6"/>
    <n v="5"/>
    <n v="85.8"/>
    <n v="2.1"/>
    <s v="&gt;4"/>
    <s v="3-4 hrs"/>
    <s v="17+"/>
    <x v="1"/>
  </r>
  <r>
    <n v="73"/>
    <n v="17"/>
    <n v="2.2999999999999998"/>
    <n v="3.8"/>
    <n v="79.7"/>
    <n v="2.2000000000000002"/>
    <s v="2-D64"/>
    <s v="3-4 hrs"/>
    <s v="17+"/>
    <x v="0"/>
  </r>
  <r>
    <n v="74"/>
    <n v="14"/>
    <n v="2"/>
    <n v="5"/>
    <n v="77.2"/>
    <n v="2.6"/>
    <s v="&gt;4"/>
    <s v="0-2 hrs"/>
    <s v="13-14"/>
    <x v="1"/>
  </r>
  <r>
    <n v="75"/>
    <n v="17"/>
    <n v="1.9"/>
    <n v="5.2"/>
    <n v="66.5"/>
    <n v="2.6"/>
    <s v="&gt;4"/>
    <s v="0-2 hrs"/>
    <s v="17+"/>
    <x v="1"/>
  </r>
  <r>
    <n v="76"/>
    <n v="14"/>
    <n v="1.7"/>
    <n v="4.2"/>
    <n v="65.7"/>
    <n v="2.2999999999999998"/>
    <s v="&gt;4"/>
    <s v="0-2 hrs"/>
    <s v="13-14"/>
    <x v="1"/>
  </r>
  <r>
    <n v="77"/>
    <n v="13"/>
    <n v="0.2"/>
    <n v="2.2000000000000002"/>
    <n v="69.5"/>
    <n v="1.6"/>
    <s v="2-D64"/>
    <s v="0-2 hrs"/>
    <s v="13-14"/>
    <x v="0"/>
  </r>
  <r>
    <n v="78"/>
    <n v="16"/>
    <n v="2.2000000000000002"/>
    <n v="4.3"/>
    <n v="88.4"/>
    <n v="1.2"/>
    <s v="&gt;4"/>
    <s v="3-4 hrs"/>
    <s v="15-16"/>
    <x v="1"/>
  </r>
  <r>
    <n v="79"/>
    <n v="16"/>
    <n v="3.6"/>
    <n v="6.1"/>
    <n v="65.900000000000006"/>
    <n v="1.6"/>
    <s v="&gt;4"/>
    <s v="3-4 hrs"/>
    <s v="15-16"/>
    <x v="3"/>
  </r>
  <r>
    <n v="80"/>
    <n v="16"/>
    <n v="2.2000000000000002"/>
    <n v="3.3"/>
    <n v="72.599999999999994"/>
    <n v="1.1000000000000001"/>
    <s v="2-D64"/>
    <s v="3-4 hrs"/>
    <s v="15-16"/>
    <x v="0"/>
  </r>
  <r>
    <n v="81"/>
    <n v="17"/>
    <n v="3.1"/>
    <n v="4.5"/>
    <n v="47.6"/>
    <n v="0"/>
    <s v="&gt;4"/>
    <s v="3-4 hrs"/>
    <s v="17+"/>
    <x v="1"/>
  </r>
  <r>
    <n v="82"/>
    <n v="13"/>
    <n v="1.4"/>
    <n v="4"/>
    <n v="76.8"/>
    <n v="1.3"/>
    <s v="2-D64"/>
    <s v="0-2 hrs"/>
    <s v="13-14"/>
    <x v="0"/>
  </r>
  <r>
    <n v="83"/>
    <n v="17"/>
    <n v="1.2"/>
    <n v="6.1"/>
    <n v="92.6"/>
    <n v="1.8"/>
    <s v="&gt;4"/>
    <s v="0-2 hrs"/>
    <s v="17+"/>
    <x v="3"/>
  </r>
  <r>
    <n v="84"/>
    <n v="17"/>
    <n v="1.7"/>
    <n v="3"/>
    <n v="60.7"/>
    <n v="1"/>
    <s v="2-D64"/>
    <s v="0-2 hrs"/>
    <s v="17+"/>
    <x v="0"/>
  </r>
  <r>
    <n v="85"/>
    <n v="13"/>
    <n v="1.5"/>
    <n v="5.7"/>
    <n v="100"/>
    <n v="1.3"/>
    <s v="&gt;4"/>
    <s v="0-2 hrs"/>
    <s v="13-14"/>
    <x v="1"/>
  </r>
  <r>
    <n v="86"/>
    <n v="13"/>
    <n v="1.3"/>
    <n v="3.4"/>
    <n v="71.8"/>
    <n v="1.4"/>
    <s v="2-D64"/>
    <s v="0-2 hrs"/>
    <s v="13-14"/>
    <x v="0"/>
  </r>
  <r>
    <n v="87"/>
    <n v="13"/>
    <n v="2.9"/>
    <n v="3"/>
    <n v="44.3"/>
    <n v="2.6"/>
    <s v="2-D64"/>
    <s v="3-4 hrs"/>
    <s v="13-14"/>
    <x v="0"/>
  </r>
  <r>
    <n v="88"/>
    <n v="13"/>
    <n v="4.3"/>
    <n v="4.2"/>
    <n v="66.099999999999994"/>
    <n v="1.2"/>
    <s v="&gt;4"/>
    <s v="5-6 hrs"/>
    <s v="13-14"/>
    <x v="1"/>
  </r>
  <r>
    <n v="89"/>
    <n v="16"/>
    <n v="1.8"/>
    <n v="4.5"/>
    <n v="83.3"/>
    <n v="2.6"/>
    <s v="&gt;4"/>
    <s v="0-2 hrs"/>
    <s v="15-16"/>
    <x v="1"/>
  </r>
  <r>
    <n v="90"/>
    <n v="15"/>
    <n v="0"/>
    <n v="6.9"/>
    <n v="90"/>
    <n v="0"/>
    <s v="&gt;4"/>
    <s v="0-2 hrs"/>
    <s v="15-16"/>
    <x v="3"/>
  </r>
  <r>
    <n v="91"/>
    <n v="15"/>
    <n v="3.2"/>
    <n v="4.5"/>
    <n v="77.2"/>
    <n v="2.6"/>
    <s v="&gt;4"/>
    <s v="3-4 hrs"/>
    <s v="15-16"/>
    <x v="1"/>
  </r>
  <r>
    <n v="92"/>
    <n v="13"/>
    <n v="1.1000000000000001"/>
    <n v="4.3"/>
    <n v="85.7"/>
    <n v="2.5"/>
    <s v="&gt;4"/>
    <s v="0-2 hrs"/>
    <s v="13-14"/>
    <x v="1"/>
  </r>
  <r>
    <n v="93"/>
    <n v="15"/>
    <n v="1.3"/>
    <n v="6.4"/>
    <n v="58.2"/>
    <n v="2.2000000000000002"/>
    <s v="&gt;4"/>
    <s v="0-2 hrs"/>
    <s v="15-16"/>
    <x v="3"/>
  </r>
  <r>
    <n v="94"/>
    <n v="15"/>
    <n v="3"/>
    <n v="4.9000000000000004"/>
    <n v="63.2"/>
    <n v="0"/>
    <s v="&gt;4"/>
    <s v="3-4 hrs"/>
    <s v="15-16"/>
    <x v="1"/>
  </r>
  <r>
    <n v="95"/>
    <n v="13"/>
    <n v="2.2999999999999998"/>
    <n v="3"/>
    <n v="53.2"/>
    <n v="2.2999999999999998"/>
    <s v="2-D64"/>
    <s v="3-4 hrs"/>
    <s v="13-14"/>
    <x v="0"/>
  </r>
  <r>
    <n v="96"/>
    <n v="15"/>
    <n v="1.8"/>
    <n v="6"/>
    <n v="63.9"/>
    <n v="1.5"/>
    <s v="&gt;4"/>
    <s v="0-2 hrs"/>
    <s v="15-16"/>
    <x v="1"/>
  </r>
  <r>
    <n v="97"/>
    <n v="17"/>
    <n v="2.6"/>
    <n v="2.9"/>
    <n v="77.599999999999994"/>
    <n v="0"/>
    <s v="2-D64"/>
    <s v="3-4 hrs"/>
    <s v="17+"/>
    <x v="0"/>
  </r>
  <r>
    <n v="98"/>
    <n v="14"/>
    <n v="2.1"/>
    <n v="3"/>
    <n v="72.099999999999994"/>
    <n v="2.5"/>
    <s v="2-D64"/>
    <s v="3-4 hrs"/>
    <s v="13-14"/>
    <x v="0"/>
  </r>
  <r>
    <n v="99"/>
    <n v="14"/>
    <n v="4.4000000000000004"/>
    <n v="2.7"/>
    <n v="78.7"/>
    <n v="2.7"/>
    <s v="2-D64"/>
    <s v="5-6 hrs"/>
    <s v="13-14"/>
    <x v="0"/>
  </r>
  <r>
    <n v="100"/>
    <n v="13"/>
    <n v="1.8"/>
    <n v="2.6"/>
    <n v="60.6"/>
    <n v="0"/>
    <s v="2-D64"/>
    <s v="0-2 hrs"/>
    <s v="13-14"/>
    <x v="0"/>
  </r>
  <r>
    <n v="101"/>
    <n v="16"/>
    <n v="1.6"/>
    <n v="4.5"/>
    <n v="61.2"/>
    <n v="1.6"/>
    <s v="&gt;4"/>
    <s v="0-2 hrs"/>
    <s v="15-16"/>
    <x v="1"/>
  </r>
  <r>
    <n v="102"/>
    <n v="13"/>
    <n v="2"/>
    <n v="3.6"/>
    <n v="72"/>
    <n v="2.6"/>
    <s v="2-D64"/>
    <s v="0-2 hrs"/>
    <s v="13-14"/>
    <x v="0"/>
  </r>
  <r>
    <n v="103"/>
    <n v="16"/>
    <n v="2.1"/>
    <n v="0"/>
    <n v="64"/>
    <n v="2.5"/>
    <s v="0-2"/>
    <s v="3-4 hrs"/>
    <s v="15-16"/>
    <x v="2"/>
  </r>
  <r>
    <n v="104"/>
    <n v="14"/>
    <n v="0"/>
    <n v="3.6"/>
    <n v="83"/>
    <n v="2.2000000000000002"/>
    <s v="2-D64"/>
    <s v="0-2 hrs"/>
    <s v="13-14"/>
    <x v="0"/>
  </r>
  <r>
    <n v="105"/>
    <n v="13"/>
    <n v="0.5"/>
    <n v="3.2"/>
    <n v="63.7"/>
    <n v="0"/>
    <s v="2-D64"/>
    <s v="0-2 hrs"/>
    <s v="13-14"/>
    <x v="0"/>
  </r>
  <r>
    <n v="106"/>
    <n v="17"/>
    <n v="2.9"/>
    <n v="5.3"/>
    <n v="65"/>
    <n v="2.1"/>
    <s v="&gt;4"/>
    <s v="3-4 hrs"/>
    <s v="17+"/>
    <x v="1"/>
  </r>
  <r>
    <n v="107"/>
    <n v="15"/>
    <n v="2"/>
    <n v="3.2"/>
    <n v="74.2"/>
    <n v="1.3"/>
    <s v="2-D64"/>
    <s v="0-2 hrs"/>
    <s v="15-16"/>
    <x v="0"/>
  </r>
  <r>
    <n v="108"/>
    <n v="16"/>
    <n v="3.3"/>
    <n v="7.8"/>
    <n v="66.099999999999994"/>
    <n v="2.2999999999999998"/>
    <s v="&gt;4"/>
    <s v="3-4 hrs"/>
    <s v="15-16"/>
    <x v="3"/>
  </r>
  <r>
    <n v="109"/>
    <n v="15"/>
    <n v="2.5"/>
    <n v="6.1"/>
    <n v="57.7"/>
    <n v="1.7"/>
    <s v="&gt;4"/>
    <s v="3-4 hrs"/>
    <s v="15-16"/>
    <x v="3"/>
  </r>
  <r>
    <n v="110"/>
    <n v="15"/>
    <n v="3"/>
    <n v="3.4"/>
    <n v="59"/>
    <n v="1.5"/>
    <s v="2-D64"/>
    <s v="3-4 hrs"/>
    <s v="15-16"/>
    <x v="0"/>
  </r>
  <r>
    <n v="111"/>
    <n v="13"/>
    <n v="2.1"/>
    <n v="5.7"/>
    <n v="75.400000000000006"/>
    <n v="2"/>
    <s v="&gt;4"/>
    <s v="3-4 hrs"/>
    <s v="13-14"/>
    <x v="1"/>
  </r>
  <r>
    <n v="112"/>
    <n v="15"/>
    <n v="2.9"/>
    <n v="0"/>
    <n v="56.4"/>
    <n v="1.4"/>
    <s v="0-2"/>
    <s v="3-4 hrs"/>
    <s v="15-16"/>
    <x v="2"/>
  </r>
  <r>
    <n v="113"/>
    <n v="17"/>
    <n v="4.2"/>
    <n v="4.4000000000000004"/>
    <n v="84"/>
    <n v="1.5"/>
    <s v="&gt;4"/>
    <s v="5-6 hrs"/>
    <s v="17+"/>
    <x v="1"/>
  </r>
  <r>
    <n v="114"/>
    <n v="15"/>
    <n v="1.8"/>
    <n v="5.2"/>
    <n v="63.1"/>
    <n v="1.1000000000000001"/>
    <s v="&gt;4"/>
    <s v="0-2 hrs"/>
    <s v="15-16"/>
    <x v="1"/>
  </r>
  <r>
    <n v="115"/>
    <n v="13"/>
    <n v="2.4"/>
    <n v="4.0999999999999996"/>
    <n v="76.2"/>
    <n v="0.2"/>
    <s v="&gt;4"/>
    <s v="3-4 hrs"/>
    <s v="13-14"/>
    <x v="1"/>
  </r>
  <r>
    <n v="116"/>
    <n v="17"/>
    <n v="2"/>
    <n v="4.4000000000000004"/>
    <n v="63.7"/>
    <n v="2"/>
    <s v="&gt;4"/>
    <s v="0-2 hrs"/>
    <s v="17+"/>
    <x v="1"/>
  </r>
  <r>
    <n v="117"/>
    <n v="14"/>
    <n v="4.0999999999999996"/>
    <n v="5.2"/>
    <n v="60.8"/>
    <n v="0.9"/>
    <s v="&gt;4"/>
    <s v="5-6 hrs"/>
    <s v="13-14"/>
    <x v="1"/>
  </r>
  <r>
    <n v="118"/>
    <n v="15"/>
    <n v="2.1"/>
    <n v="7.1"/>
    <n v="72.5"/>
    <n v="1.3"/>
    <s v="&gt;4"/>
    <s v="3-4 hrs"/>
    <s v="15-16"/>
    <x v="3"/>
  </r>
  <r>
    <n v="119"/>
    <n v="13"/>
    <n v="1.8"/>
    <n v="4.4000000000000004"/>
    <n v="80.5"/>
    <n v="1.7"/>
    <s v="&gt;4"/>
    <s v="0-2 hrs"/>
    <s v="13-14"/>
    <x v="1"/>
  </r>
  <r>
    <n v="120"/>
    <n v="14"/>
    <n v="1.9"/>
    <n v="3.3"/>
    <n v="67.5"/>
    <n v="0"/>
    <s v="2-D64"/>
    <s v="0-2 hrs"/>
    <s v="13-14"/>
    <x v="0"/>
  </r>
  <r>
    <n v="121"/>
    <n v="14"/>
    <n v="2.4"/>
    <n v="1"/>
    <n v="69.3"/>
    <n v="0"/>
    <s v="0-2"/>
    <s v="3-4 hrs"/>
    <s v="13-14"/>
    <x v="2"/>
  </r>
  <r>
    <n v="122"/>
    <n v="16"/>
    <n v="1.7"/>
    <n v="6.9"/>
    <n v="78.099999999999994"/>
    <n v="1.3"/>
    <s v="&gt;4"/>
    <s v="0-2 hrs"/>
    <s v="15-16"/>
    <x v="3"/>
  </r>
  <r>
    <n v="123"/>
    <n v="17"/>
    <n v="2.1"/>
    <n v="3.6"/>
    <n v="78.400000000000006"/>
    <n v="1.9"/>
    <s v="2-D64"/>
    <s v="3-4 hrs"/>
    <s v="17+"/>
    <x v="0"/>
  </r>
  <r>
    <n v="124"/>
    <n v="15"/>
    <n v="2.7"/>
    <n v="4.8"/>
    <n v="69.599999999999994"/>
    <n v="2.1"/>
    <s v="&gt;4"/>
    <s v="3-4 hrs"/>
    <s v="15-16"/>
    <x v="1"/>
  </r>
  <r>
    <n v="125"/>
    <n v="13"/>
    <n v="2.4"/>
    <n v="6.9"/>
    <n v="65.599999999999994"/>
    <n v="0.2"/>
    <s v="&gt;4"/>
    <s v="3-4 hrs"/>
    <s v="13-14"/>
    <x v="3"/>
  </r>
  <r>
    <n v="126"/>
    <n v="16"/>
    <n v="3.3"/>
    <n v="4.3"/>
    <n v="70.8"/>
    <n v="2"/>
    <s v="&gt;4"/>
    <s v="3-4 hrs"/>
    <s v="15-16"/>
    <x v="1"/>
  </r>
  <r>
    <n v="127"/>
    <n v="17"/>
    <n v="2.2000000000000002"/>
    <n v="3.7"/>
    <n v="68.099999999999994"/>
    <n v="1.3"/>
    <s v="2-D64"/>
    <s v="3-4 hrs"/>
    <s v="17+"/>
    <x v="0"/>
  </r>
  <r>
    <n v="128"/>
    <n v="16"/>
    <n v="2.2999999999999998"/>
    <n v="6.1"/>
    <n v="73.099999999999994"/>
    <n v="0.8"/>
    <s v="&gt;4"/>
    <s v="3-4 hrs"/>
    <s v="15-16"/>
    <x v="3"/>
  </r>
  <r>
    <n v="129"/>
    <n v="17"/>
    <n v="2.8"/>
    <n v="4.7"/>
    <n v="58.1"/>
    <n v="1"/>
    <s v="&gt;4"/>
    <s v="3-4 hrs"/>
    <s v="17+"/>
    <x v="1"/>
  </r>
  <r>
    <n v="130"/>
    <n v="17"/>
    <n v="4.7"/>
    <n v="4.9000000000000004"/>
    <n v="72.8"/>
    <n v="2.1"/>
    <s v="&gt;4"/>
    <s v="5-6 hrs"/>
    <s v="17+"/>
    <x v="1"/>
  </r>
  <r>
    <n v="131"/>
    <n v="15"/>
    <n v="1.7"/>
    <n v="1.7"/>
    <n v="62.8"/>
    <n v="1.7"/>
    <s v="0-2"/>
    <s v="0-2 hrs"/>
    <s v="15-16"/>
    <x v="2"/>
  </r>
  <r>
    <n v="132"/>
    <n v="17"/>
    <n v="4.4000000000000004"/>
    <n v="5.8"/>
    <n v="79.099999999999994"/>
    <n v="1.5"/>
    <s v="&gt;4"/>
    <s v="5-6 hrs"/>
    <s v="17+"/>
    <x v="1"/>
  </r>
  <r>
    <n v="133"/>
    <n v="16"/>
    <n v="1.3"/>
    <n v="4.5999999999999996"/>
    <n v="63.3"/>
    <n v="1.7"/>
    <s v="&gt;4"/>
    <s v="0-2 hrs"/>
    <s v="15-16"/>
    <x v="1"/>
  </r>
  <r>
    <n v="134"/>
    <n v="17"/>
    <n v="2.7"/>
    <n v="1.9"/>
    <n v="63.4"/>
    <n v="2.2000000000000002"/>
    <s v="0-2"/>
    <s v="3-4 hrs"/>
    <s v="17+"/>
    <x v="2"/>
  </r>
  <r>
    <n v="135"/>
    <n v="15"/>
    <n v="0"/>
    <n v="4.7"/>
    <n v="74.5"/>
    <n v="1.4"/>
    <s v="&gt;4"/>
    <s v="0-2 hrs"/>
    <s v="15-16"/>
    <x v="1"/>
  </r>
  <r>
    <n v="136"/>
    <n v="15"/>
    <n v="1.7"/>
    <n v="0.9"/>
    <n v="70.099999999999994"/>
    <n v="1.5"/>
    <s v="0-2"/>
    <s v="0-2 hrs"/>
    <s v="15-16"/>
    <x v="2"/>
  </r>
  <r>
    <n v="137"/>
    <n v="16"/>
    <n v="3.2"/>
    <n v="7.5"/>
    <n v="92.8"/>
    <n v="2.4"/>
    <s v="&gt;4"/>
    <s v="3-4 hrs"/>
    <s v="15-16"/>
    <x v="3"/>
  </r>
  <r>
    <n v="138"/>
    <n v="14"/>
    <n v="3.1"/>
    <n v="2.2999999999999998"/>
    <n v="0"/>
    <n v="1.2"/>
    <s v="2-D64"/>
    <s v="3-4 hrs"/>
    <s v="13-14"/>
    <x v="0"/>
  </r>
  <r>
    <n v="139"/>
    <n v="14"/>
    <n v="2"/>
    <n v="6.4"/>
    <n v="71.099999999999994"/>
    <n v="2"/>
    <s v="&gt;4"/>
    <s v="0-2 hrs"/>
    <s v="13-14"/>
    <x v="3"/>
  </r>
  <r>
    <n v="140"/>
    <n v="17"/>
    <n v="0.4"/>
    <n v="2.8"/>
    <n v="81.3"/>
    <n v="1.1000000000000001"/>
    <s v="2-D64"/>
    <s v="0-2 hrs"/>
    <s v="17+"/>
    <x v="0"/>
  </r>
  <r>
    <n v="141"/>
    <n v="13"/>
    <n v="2.1"/>
    <n v="4.8"/>
    <n v="64.2"/>
    <n v="1.2"/>
    <s v="&gt;4"/>
    <s v="3-4 hrs"/>
    <s v="13-14"/>
    <x v="1"/>
  </r>
  <r>
    <n v="142"/>
    <n v="17"/>
    <n v="2.6"/>
    <n v="2.6"/>
    <n v="60.9"/>
    <n v="1.4"/>
    <s v="2-D64"/>
    <s v="3-4 hrs"/>
    <s v="17+"/>
    <x v="0"/>
  </r>
  <r>
    <n v="143"/>
    <n v="16"/>
    <n v="2.5"/>
    <n v="5.5"/>
    <n v="61.3"/>
    <n v="1.9"/>
    <s v="&gt;4"/>
    <s v="3-4 hrs"/>
    <s v="15-16"/>
    <x v="1"/>
  </r>
  <r>
    <n v="144"/>
    <n v="16"/>
    <n v="3.3"/>
    <n v="3.6"/>
    <n v="53.9"/>
    <n v="2.5"/>
    <s v="2-D64"/>
    <s v="3-4 hrs"/>
    <s v="15-16"/>
    <x v="0"/>
  </r>
  <r>
    <n v="145"/>
    <n v="16"/>
    <n v="4.4000000000000004"/>
    <n v="4.7"/>
    <n v="83.5"/>
    <n v="1.6"/>
    <s v="&gt;4"/>
    <s v="5-6 hrs"/>
    <s v="15-16"/>
    <x v="1"/>
  </r>
  <r>
    <n v="146"/>
    <n v="16"/>
    <n v="2.9"/>
    <n v="4"/>
    <n v="66.7"/>
    <n v="0.3"/>
    <s v="2-D64"/>
    <s v="3-4 hrs"/>
    <s v="15-16"/>
    <x v="0"/>
  </r>
  <r>
    <n v="147"/>
    <n v="16"/>
    <n v="3.1"/>
    <n v="2"/>
    <n v="65.5"/>
    <n v="2"/>
    <s v="0-2"/>
    <s v="3-4 hrs"/>
    <s v="15-16"/>
    <x v="2"/>
  </r>
  <r>
    <n v="148"/>
    <n v="15"/>
    <n v="2.6"/>
    <n v="4.8"/>
    <n v="48.8"/>
    <n v="3.5"/>
    <s v="&gt;4"/>
    <s v="3-4 hrs"/>
    <s v="15-16"/>
    <x v="1"/>
  </r>
  <r>
    <n v="149"/>
    <n v="14"/>
    <n v="3.7"/>
    <n v="3.2"/>
    <n v="55.7"/>
    <n v="1.6"/>
    <s v="2-D64"/>
    <s v="3-4 hrs"/>
    <s v="13-14"/>
    <x v="0"/>
  </r>
  <r>
    <n v="150"/>
    <n v="16"/>
    <n v="3"/>
    <n v="5.6"/>
    <n v="84.7"/>
    <n v="0.1"/>
    <s v="&gt;4"/>
    <s v="3-4 hrs"/>
    <s v="15-16"/>
    <x v="1"/>
  </r>
  <r>
    <n v="151"/>
    <n v="13"/>
    <n v="3.2"/>
    <n v="3.6"/>
    <n v="73"/>
    <n v="1.6"/>
    <s v="2-D64"/>
    <s v="3-4 hrs"/>
    <s v="13-14"/>
    <x v="0"/>
  </r>
  <r>
    <n v="152"/>
    <n v="13"/>
    <n v="4.3"/>
    <n v="3.9"/>
    <n v="81.7"/>
    <n v="1.5"/>
    <s v="2-D64"/>
    <s v="5-6 hrs"/>
    <s v="13-14"/>
    <x v="0"/>
  </r>
  <r>
    <n v="153"/>
    <n v="13"/>
    <n v="2.7"/>
    <n v="6.5"/>
    <n v="80.400000000000006"/>
    <n v="1.4"/>
    <s v="&gt;4"/>
    <s v="3-4 hrs"/>
    <s v="13-14"/>
    <x v="3"/>
  </r>
  <r>
    <n v="154"/>
    <n v="13"/>
    <n v="2.2000000000000002"/>
    <n v="7.6"/>
    <n v="60"/>
    <n v="2.2999999999999998"/>
    <s v="&gt;4"/>
    <s v="3-4 hrs"/>
    <s v="13-14"/>
    <x v="3"/>
  </r>
  <r>
    <n v="155"/>
    <n v="15"/>
    <n v="2.9"/>
    <n v="5.2"/>
    <n v="94.3"/>
    <n v="2.6"/>
    <s v="&gt;4"/>
    <s v="3-4 hrs"/>
    <s v="15-16"/>
    <x v="1"/>
  </r>
  <r>
    <n v="156"/>
    <n v="13"/>
    <n v="3.6"/>
    <n v="3.6"/>
    <n v="89.5"/>
    <n v="2"/>
    <s v="2-D64"/>
    <s v="3-4 hrs"/>
    <s v="13-14"/>
    <x v="0"/>
  </r>
  <r>
    <n v="157"/>
    <n v="16"/>
    <n v="3"/>
    <n v="3.4"/>
    <n v="64.400000000000006"/>
    <n v="1.4"/>
    <s v="2-D64"/>
    <s v="3-4 hrs"/>
    <s v="15-16"/>
    <x v="0"/>
  </r>
  <r>
    <n v="158"/>
    <n v="17"/>
    <n v="3.6"/>
    <n v="2.8"/>
    <n v="34.299999999999997"/>
    <n v="2.4"/>
    <s v="2-D64"/>
    <s v="3-4 hrs"/>
    <s v="17+"/>
    <x v="0"/>
  </r>
  <r>
    <n v="159"/>
    <n v="13"/>
    <n v="1.8"/>
    <n v="3.1"/>
    <n v="66.400000000000006"/>
    <n v="0.3"/>
    <s v="2-D64"/>
    <s v="0-2 hrs"/>
    <s v="13-14"/>
    <x v="0"/>
  </r>
  <r>
    <n v="160"/>
    <n v="15"/>
    <n v="1.6"/>
    <n v="3.6"/>
    <n v="72.400000000000006"/>
    <n v="0.9"/>
    <s v="2-D64"/>
    <s v="0-2 hrs"/>
    <s v="15-16"/>
    <x v="0"/>
  </r>
  <r>
    <n v="161"/>
    <n v="15"/>
    <n v="2"/>
    <n v="6.9"/>
    <n v="64.3"/>
    <n v="1"/>
    <s v="&gt;4"/>
    <s v="0-2 hrs"/>
    <s v="15-16"/>
    <x v="3"/>
  </r>
  <r>
    <n v="162"/>
    <n v="13"/>
    <n v="1.2"/>
    <n v="3.7"/>
    <n v="67.8"/>
    <n v="1.5"/>
    <s v="2-D64"/>
    <s v="0-2 hrs"/>
    <s v="13-14"/>
    <x v="0"/>
  </r>
  <r>
    <n v="163"/>
    <n v="17"/>
    <n v="2.6"/>
    <n v="2.2000000000000002"/>
    <n v="61.7"/>
    <n v="1.9"/>
    <s v="2-D64"/>
    <s v="3-4 hrs"/>
    <s v="17+"/>
    <x v="0"/>
  </r>
  <r>
    <n v="164"/>
    <n v="13"/>
    <n v="2.1"/>
    <n v="4.0999999999999996"/>
    <n v="79.2"/>
    <n v="1.3"/>
    <s v="&gt;4"/>
    <s v="3-4 hrs"/>
    <s v="13-14"/>
    <x v="1"/>
  </r>
  <r>
    <n v="165"/>
    <n v="15"/>
    <n v="3.7"/>
    <n v="4.3"/>
    <n v="70.599999999999994"/>
    <n v="0.8"/>
    <s v="&gt;4"/>
    <s v="3-4 hrs"/>
    <s v="15-16"/>
    <x v="1"/>
  </r>
  <r>
    <n v="166"/>
    <n v="14"/>
    <n v="1.2"/>
    <n v="4.0999999999999996"/>
    <n v="79.5"/>
    <n v="2.2999999999999998"/>
    <s v="&gt;4"/>
    <s v="0-2 hrs"/>
    <s v="13-14"/>
    <x v="1"/>
  </r>
  <r>
    <n v="167"/>
    <n v="16"/>
    <n v="4.0999999999999996"/>
    <n v="5.2"/>
    <n v="82.2"/>
    <n v="1.3"/>
    <s v="&gt;4"/>
    <s v="5-6 hrs"/>
    <s v="15-16"/>
    <x v="1"/>
  </r>
  <r>
    <n v="168"/>
    <n v="15"/>
    <n v="1.5"/>
    <n v="4.0999999999999996"/>
    <n v="48.3"/>
    <n v="1.6"/>
    <s v="&gt;4"/>
    <s v="0-2 hrs"/>
    <s v="15-16"/>
    <x v="1"/>
  </r>
  <r>
    <n v="169"/>
    <n v="13"/>
    <n v="1.3"/>
    <n v="5.2"/>
    <n v="62.3"/>
    <n v="1.9"/>
    <s v="&gt;4"/>
    <s v="0-2 hrs"/>
    <s v="13-14"/>
    <x v="1"/>
  </r>
  <r>
    <n v="170"/>
    <n v="16"/>
    <n v="1.7"/>
    <n v="2.8"/>
    <n v="63.8"/>
    <n v="1.5"/>
    <s v="2-D64"/>
    <s v="0-2 hrs"/>
    <s v="15-16"/>
    <x v="0"/>
  </r>
  <r>
    <n v="171"/>
    <n v="13"/>
    <n v="4.5"/>
    <n v="0"/>
    <n v="95.7"/>
    <n v="1.5"/>
    <s v="0-2"/>
    <s v="5-6 hrs"/>
    <s v="13-14"/>
    <x v="2"/>
  </r>
  <r>
    <n v="172"/>
    <n v="13"/>
    <n v="2.5"/>
    <n v="4.4000000000000004"/>
    <n v="71.5"/>
    <n v="2.2999999999999998"/>
    <s v="&gt;4"/>
    <s v="3-4 hrs"/>
    <s v="13-14"/>
    <x v="1"/>
  </r>
  <r>
    <n v="173"/>
    <n v="14"/>
    <n v="3"/>
    <n v="4.5999999999999996"/>
    <n v="0"/>
    <n v="1.6"/>
    <s v="&gt;4"/>
    <s v="3-4 hrs"/>
    <s v="13-14"/>
    <x v="1"/>
  </r>
  <r>
    <n v="174"/>
    <n v="16"/>
    <n v="2.2999999999999998"/>
    <n v="2.8"/>
    <n v="51.2"/>
    <n v="2.2000000000000002"/>
    <s v="2-D64"/>
    <s v="3-4 hrs"/>
    <s v="15-16"/>
    <x v="0"/>
  </r>
  <r>
    <n v="175"/>
    <n v="16"/>
    <n v="2.4"/>
    <n v="4.7"/>
    <n v="71.400000000000006"/>
    <n v="1.9"/>
    <s v="&gt;4"/>
    <s v="3-4 hrs"/>
    <s v="15-16"/>
    <x v="1"/>
  </r>
  <r>
    <n v="176"/>
    <n v="14"/>
    <n v="2"/>
    <n v="5"/>
    <n v="79.8"/>
    <n v="3.1"/>
    <s v="&gt;4"/>
    <s v="0-2 hrs"/>
    <s v="13-14"/>
    <x v="1"/>
  </r>
  <r>
    <n v="177"/>
    <n v="15"/>
    <n v="2.6"/>
    <n v="2.2000000000000002"/>
    <n v="78.599999999999994"/>
    <n v="1.8"/>
    <s v="2-D64"/>
    <s v="3-4 hrs"/>
    <s v="15-16"/>
    <x v="0"/>
  </r>
  <r>
    <n v="178"/>
    <n v="13"/>
    <n v="3"/>
    <n v="1.5"/>
    <n v="76.2"/>
    <n v="2"/>
    <s v="0-2"/>
    <s v="3-4 hrs"/>
    <s v="13-14"/>
    <x v="2"/>
  </r>
  <r>
    <n v="179"/>
    <n v="17"/>
    <n v="4.2"/>
    <n v="4.4000000000000004"/>
    <n v="70.099999999999994"/>
    <n v="2.4"/>
    <s v="&gt;4"/>
    <s v="5-6 hrs"/>
    <s v="17+"/>
    <x v="1"/>
  </r>
  <r>
    <n v="180"/>
    <n v="13"/>
    <n v="0.6"/>
    <n v="3.3"/>
    <n v="70.599999999999994"/>
    <n v="1.6"/>
    <s v="2-D64"/>
    <s v="0-2 hrs"/>
    <s v="13-14"/>
    <x v="0"/>
  </r>
  <r>
    <n v="181"/>
    <n v="13"/>
    <n v="4.0999999999999996"/>
    <n v="4.4000000000000004"/>
    <n v="53.1"/>
    <n v="1"/>
    <s v="&gt;4"/>
    <s v="5-6 hrs"/>
    <s v="13-14"/>
    <x v="1"/>
  </r>
  <r>
    <n v="182"/>
    <n v="15"/>
    <n v="3"/>
    <n v="2.1"/>
    <n v="61"/>
    <n v="1.1000000000000001"/>
    <s v="2-D64"/>
    <s v="3-4 hrs"/>
    <s v="15-16"/>
    <x v="0"/>
  </r>
  <r>
    <n v="183"/>
    <n v="13"/>
    <n v="2.1"/>
    <n v="1.7"/>
    <n v="72.3"/>
    <n v="1.1000000000000001"/>
    <s v="0-2"/>
    <s v="3-4 hrs"/>
    <s v="13-14"/>
    <x v="2"/>
  </r>
  <r>
    <n v="184"/>
    <n v="14"/>
    <n v="2"/>
    <n v="4.3"/>
    <n v="62.8"/>
    <n v="0.7"/>
    <s v="&gt;4"/>
    <s v="0-2 hrs"/>
    <s v="13-14"/>
    <x v="1"/>
  </r>
  <r>
    <n v="185"/>
    <n v="14"/>
    <n v="3.5"/>
    <n v="3.5"/>
    <n v="76.900000000000006"/>
    <n v="1.8"/>
    <s v="2-D64"/>
    <s v="3-4 hrs"/>
    <s v="13-14"/>
    <x v="0"/>
  </r>
  <r>
    <n v="186"/>
    <n v="16"/>
    <n v="2.7"/>
    <n v="0"/>
    <n v="74.7"/>
    <n v="1"/>
    <s v="0-2"/>
    <s v="3-4 hrs"/>
    <s v="15-16"/>
    <x v="2"/>
  </r>
  <r>
    <n v="187"/>
    <n v="17"/>
    <n v="1"/>
    <n v="6"/>
    <n v="83.7"/>
    <n v="1.7"/>
    <s v="&gt;4"/>
    <s v="0-2 hrs"/>
    <s v="17+"/>
    <x v="1"/>
  </r>
  <r>
    <n v="188"/>
    <n v="13"/>
    <n v="2.9"/>
    <n v="2"/>
    <n v="79.599999999999994"/>
    <n v="1.4"/>
    <s v="0-2"/>
    <s v="3-4 hrs"/>
    <s v="13-14"/>
    <x v="2"/>
  </r>
  <r>
    <n v="189"/>
    <n v="13"/>
    <n v="3.6"/>
    <n v="7.9"/>
    <n v="72.3"/>
    <n v="1.5"/>
    <s v="&gt;4"/>
    <s v="3-4 hrs"/>
    <s v="13-14"/>
    <x v="3"/>
  </r>
  <r>
    <n v="190"/>
    <n v="15"/>
    <n v="3.4"/>
    <n v="3.1"/>
    <n v="77.5"/>
    <n v="1.9"/>
    <s v="2-D64"/>
    <s v="3-4 hrs"/>
    <s v="15-16"/>
    <x v="0"/>
  </r>
  <r>
    <n v="191"/>
    <n v="14"/>
    <n v="1.9"/>
    <n v="4.5999999999999996"/>
    <n v="80.099999999999994"/>
    <n v="1.1000000000000001"/>
    <s v="&gt;4"/>
    <s v="0-2 hrs"/>
    <s v="13-14"/>
    <x v="1"/>
  </r>
  <r>
    <n v="192"/>
    <n v="17"/>
    <n v="1.2"/>
    <n v="6.5"/>
    <n v="64.900000000000006"/>
    <n v="2"/>
    <s v="&gt;4"/>
    <s v="0-2 hrs"/>
    <s v="17+"/>
    <x v="3"/>
  </r>
  <r>
    <n v="193"/>
    <n v="16"/>
    <n v="2.2000000000000002"/>
    <n v="6.2"/>
    <n v="66.7"/>
    <n v="2.8"/>
    <s v="&gt;4"/>
    <s v="3-4 hrs"/>
    <s v="15-16"/>
    <x v="3"/>
  </r>
  <r>
    <n v="194"/>
    <n v="14"/>
    <n v="5.8"/>
    <n v="7"/>
    <n v="69"/>
    <n v="1.8"/>
    <s v="&gt;4"/>
    <s v="5-6 hrs"/>
    <s v="13-14"/>
    <x v="3"/>
  </r>
  <r>
    <n v="195"/>
    <n v="16"/>
    <n v="1"/>
    <n v="1.7"/>
    <n v="65.2"/>
    <n v="0.9"/>
    <s v="0-2"/>
    <s v="0-2 hrs"/>
    <s v="15-16"/>
    <x v="2"/>
  </r>
  <r>
    <n v="196"/>
    <n v="15"/>
    <n v="1.7"/>
    <n v="2.2999999999999998"/>
    <n v="80.2"/>
    <n v="1"/>
    <s v="2-D64"/>
    <s v="0-2 hrs"/>
    <s v="15-16"/>
    <x v="0"/>
  </r>
  <r>
    <n v="197"/>
    <n v="15"/>
    <n v="2.9"/>
    <n v="4.3"/>
    <n v="63.7"/>
    <n v="1.3"/>
    <s v="&gt;4"/>
    <s v="3-4 hrs"/>
    <s v="15-16"/>
    <x v="1"/>
  </r>
  <r>
    <n v="198"/>
    <n v="13"/>
    <n v="2.4"/>
    <n v="5.3"/>
    <n v="82.5"/>
    <n v="1"/>
    <s v="&gt;4"/>
    <s v="3-4 hrs"/>
    <s v="13-14"/>
    <x v="1"/>
  </r>
  <r>
    <n v="199"/>
    <n v="17"/>
    <n v="2.2999999999999998"/>
    <n v="4"/>
    <n v="66.3"/>
    <n v="0.7"/>
    <s v="2-D64"/>
    <s v="3-4 hrs"/>
    <s v="17+"/>
    <x v="0"/>
  </r>
  <r>
    <n v="200"/>
    <n v="16"/>
    <n v="4.5"/>
    <n v="1.5"/>
    <n v="74.7"/>
    <n v="1.6"/>
    <s v="0-2"/>
    <s v="5-6 hrs"/>
    <s v="15-1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0:B26" firstHeaderRow="1" firstDataRow="1" firstDataCol="1"/>
  <pivotFields count="9">
    <pivotField showAll="0"/>
    <pivotField axis="axisRow" numFmtId="1" showAll="0">
      <items count="6">
        <item x="4"/>
        <item x="3"/>
        <item x="2"/>
        <item x="0"/>
        <item x="1"/>
        <item t="default"/>
      </items>
    </pivotField>
    <pivotField numFmtId="2" showAll="0"/>
    <pivotField numFmtId="2" showAll="0"/>
    <pivotField dataField="1" numFmtId="2" showAll="0"/>
    <pivotField numFmtId="2" showAll="0"/>
    <pivotField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st_Scores" fld="4" subtotal="average" baseField="0" baseItem="0"/>
  </dataFields>
  <formats count="2">
    <format dxfId="3">
      <pivotArea dataOnly="0" fieldPosition="0">
        <references count="1">
          <reference field="1" count="0"/>
        </references>
      </pivotArea>
    </format>
    <format dxfId="2">
      <pivotArea dataOnly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0:C15" firstHeaderRow="1" firstDataRow="2" firstDataCol="1"/>
  <pivotFields count="9">
    <pivotField dataField="1" showAll="0"/>
    <pivotField numFmtId="1" showAll="0"/>
    <pivotField numFmtId="2" showAll="0"/>
    <pivotField numFmtId="2" showAll="0">
      <items count="61">
        <item x="11"/>
        <item x="33"/>
        <item x="20"/>
        <item x="49"/>
        <item x="48"/>
        <item x="23"/>
        <item x="55"/>
        <item x="13"/>
        <item x="39"/>
        <item x="4"/>
        <item x="31"/>
        <item x="12"/>
        <item x="56"/>
        <item x="37"/>
        <item x="51"/>
        <item x="21"/>
        <item x="19"/>
        <item x="0"/>
        <item x="3"/>
        <item x="22"/>
        <item x="38"/>
        <item x="24"/>
        <item x="30"/>
        <item x="36"/>
        <item x="44"/>
        <item x="15"/>
        <item x="9"/>
        <item x="35"/>
        <item x="40"/>
        <item x="32"/>
        <item x="1"/>
        <item x="8"/>
        <item x="41"/>
        <item x="2"/>
        <item x="5"/>
        <item x="43"/>
        <item x="7"/>
        <item x="16"/>
        <item x="27"/>
        <item x="34"/>
        <item x="26"/>
        <item x="17"/>
        <item x="28"/>
        <item x="52"/>
        <item x="14"/>
        <item x="29"/>
        <item x="10"/>
        <item x="18"/>
        <item x="42"/>
        <item x="58"/>
        <item x="25"/>
        <item x="53"/>
        <item x="6"/>
        <item x="45"/>
        <item x="59"/>
        <item x="47"/>
        <item x="50"/>
        <item x="54"/>
        <item x="46"/>
        <item x="57"/>
        <item t="default"/>
      </items>
    </pivotField>
    <pivotField numFmtId="2" showAll="0"/>
    <pivotField dataField="1" numFmtId="2" showAll="0">
      <items count="34">
        <item x="16"/>
        <item x="28"/>
        <item x="29"/>
        <item x="30"/>
        <item x="5"/>
        <item x="10"/>
        <item x="27"/>
        <item x="1"/>
        <item x="21"/>
        <item x="7"/>
        <item x="19"/>
        <item x="17"/>
        <item x="18"/>
        <item x="11"/>
        <item x="4"/>
        <item x="2"/>
        <item x="0"/>
        <item x="12"/>
        <item x="3"/>
        <item x="14"/>
        <item x="9"/>
        <item x="22"/>
        <item x="20"/>
        <item x="13"/>
        <item x="24"/>
        <item x="26"/>
        <item x="15"/>
        <item x="25"/>
        <item x="8"/>
        <item x="6"/>
        <item x="32"/>
        <item x="31"/>
        <item x="2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tra_Curricular_Hours" fld="5" baseField="0" baseItem="0"/>
    <dataField name="Count of Student ID" fld="0" subtotal="count" baseField="0" baseItem="0"/>
  </dataFields>
  <formats count="4">
    <format dxfId="7">
      <pivotArea dataOnly="0" fieldPosition="0">
        <references count="1">
          <reference field="7" count="0"/>
        </references>
      </pivotArea>
    </format>
    <format dxfId="6">
      <pivotArea dataOnly="0" fieldPosition="0">
        <references count="1">
          <reference field="7" count="0"/>
        </references>
      </pivotArea>
    </format>
    <format dxfId="5">
      <pivotArea collapsedLevelsAreSubtotals="1" fieldPosition="0">
        <references count="1">
          <reference field="7" count="0"/>
        </references>
      </pivotArea>
    </format>
    <format dxfId="4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9">
    <pivotField showAll="0"/>
    <pivotField numFmtId="1" showAll="0"/>
    <pivotField numFmtId="2" showAll="0"/>
    <pivotField numFmtId="2" showAll="0"/>
    <pivotField dataField="1" numFmtId="2" showAll="0"/>
    <pivotField numFmtId="2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st_Scores" fld="4" subtotal="average" baseField="0" baseItem="0"/>
  </dataFields>
  <formats count="6">
    <format dxfId="11">
      <pivotArea collapsedLevelsAreSubtotals="1" fieldPosition="0">
        <references count="1">
          <reference field="7" count="0"/>
        </references>
      </pivotArea>
    </format>
    <format dxfId="10">
      <pivotArea dataOnly="0" labelOnly="1" fieldPosition="0">
        <references count="1">
          <reference field="7" count="0"/>
        </references>
      </pivotArea>
    </format>
    <format dxfId="9">
      <pivotArea collapsedLevelsAreSubtotals="1" fieldPosition="0">
        <references count="1">
          <reference field="7" count="0"/>
        </references>
      </pivotArea>
    </format>
    <format dxfId="8">
      <pivotArea collapsedLevelsAreSubtotals="1" fieldPosition="0">
        <references count="1">
          <reference field="7" count="0"/>
        </references>
      </pivotArea>
    </format>
    <format dxfId="1">
      <pivotArea collapsedLevelsAreSubtotals="1" fieldPosition="0">
        <references count="1">
          <reference field="7" count="0"/>
        </references>
      </pivotArea>
    </format>
    <format dxfId="0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8" firstHeaderRow="1" firstDataRow="1" firstDataCol="1"/>
  <pivotFields count="10">
    <pivotField showAll="0"/>
    <pivotField numFmtId="1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est_Scor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tabSelected="1" workbookViewId="0">
      <selection activeCell="L20" sqref="L20"/>
    </sheetView>
  </sheetViews>
  <sheetFormatPr defaultRowHeight="14.4"/>
  <cols>
    <col min="1" max="1" width="10" bestFit="1" customWidth="1"/>
    <col min="2" max="2" width="4" bestFit="1" customWidth="1"/>
    <col min="3" max="3" width="11.21875" bestFit="1" customWidth="1"/>
    <col min="4" max="4" width="11.44140625" bestFit="1" customWidth="1"/>
    <col min="5" max="5" width="10.77734375" bestFit="1" customWidth="1"/>
    <col min="6" max="6" width="20.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</row>
    <row r="3" spans="1:6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</row>
    <row r="4" spans="1:6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</row>
    <row r="5" spans="1:6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</row>
    <row r="6" spans="1:6">
      <c r="A6">
        <v>5</v>
      </c>
      <c r="B6">
        <v>17</v>
      </c>
      <c r="D6">
        <v>1.8</v>
      </c>
      <c r="E6">
        <v>78</v>
      </c>
      <c r="F6">
        <v>1.4</v>
      </c>
    </row>
    <row r="7" spans="1:6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</row>
    <row r="8" spans="1:6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</row>
    <row r="9" spans="1:6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</row>
    <row r="10" spans="1:6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</row>
    <row r="11" spans="1:6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</row>
    <row r="12" spans="1:6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</row>
    <row r="13" spans="1:6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</row>
    <row r="14" spans="1:6">
      <c r="A14">
        <v>13</v>
      </c>
      <c r="B14">
        <v>17</v>
      </c>
      <c r="C14">
        <v>1.8</v>
      </c>
      <c r="E14">
        <v>65.7</v>
      </c>
      <c r="F14">
        <v>0.7</v>
      </c>
    </row>
    <row r="15" spans="1:6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</row>
    <row r="16" spans="1:6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</row>
    <row r="17" spans="1:6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</row>
    <row r="18" spans="1:6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</row>
    <row r="19" spans="1:6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</row>
    <row r="20" spans="1:6">
      <c r="A20">
        <v>19</v>
      </c>
      <c r="B20">
        <v>13</v>
      </c>
      <c r="D20">
        <v>3.5</v>
      </c>
      <c r="E20">
        <v>67.900000000000006</v>
      </c>
      <c r="F20">
        <v>2.6</v>
      </c>
    </row>
    <row r="21" spans="1:6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</row>
    <row r="22" spans="1:6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</row>
    <row r="23" spans="1:6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</row>
    <row r="24" spans="1:6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</row>
    <row r="25" spans="1:6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</row>
    <row r="26" spans="1:6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</row>
    <row r="27" spans="1:6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</row>
    <row r="28" spans="1:6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</row>
    <row r="29" spans="1:6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</row>
    <row r="30" spans="1:6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</row>
    <row r="31" spans="1:6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</row>
    <row r="32" spans="1:6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</row>
    <row r="33" spans="1:6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</row>
    <row r="34" spans="1:6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</row>
    <row r="35" spans="1:6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</row>
    <row r="36" spans="1:6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</row>
    <row r="37" spans="1:6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</row>
    <row r="38" spans="1:6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</row>
    <row r="39" spans="1:6">
      <c r="A39">
        <v>38</v>
      </c>
      <c r="B39">
        <v>17</v>
      </c>
      <c r="C39">
        <v>2.2999999999999998</v>
      </c>
      <c r="D39">
        <v>5.7</v>
      </c>
      <c r="F39">
        <v>2.7</v>
      </c>
    </row>
    <row r="40" spans="1:6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</row>
    <row r="41" spans="1:6">
      <c r="A41">
        <v>40</v>
      </c>
      <c r="B41">
        <v>14</v>
      </c>
      <c r="C41">
        <v>0.6</v>
      </c>
      <c r="D41">
        <v>1.9</v>
      </c>
      <c r="F41">
        <v>1.4</v>
      </c>
    </row>
    <row r="42" spans="1:6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</row>
    <row r="43" spans="1:6">
      <c r="A43">
        <v>42</v>
      </c>
      <c r="B43">
        <v>13</v>
      </c>
      <c r="D43">
        <v>3.9</v>
      </c>
      <c r="E43">
        <v>75</v>
      </c>
      <c r="F43">
        <v>2.5</v>
      </c>
    </row>
    <row r="44" spans="1:6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</row>
    <row r="45" spans="1:6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</row>
    <row r="46" spans="1:6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</row>
    <row r="47" spans="1:6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</row>
    <row r="48" spans="1:6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</row>
    <row r="49" spans="1:6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</row>
    <row r="50" spans="1:6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</row>
    <row r="51" spans="1:6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</row>
    <row r="52" spans="1:6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</row>
    <row r="53" spans="1:6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</row>
    <row r="54" spans="1:6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</row>
    <row r="55" spans="1:6">
      <c r="A55">
        <v>54</v>
      </c>
      <c r="B55">
        <v>17</v>
      </c>
      <c r="C55">
        <v>2.6</v>
      </c>
      <c r="E55">
        <v>66</v>
      </c>
      <c r="F55">
        <v>1.3</v>
      </c>
    </row>
    <row r="56" spans="1:6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</row>
    <row r="57" spans="1:6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</row>
    <row r="58" spans="1:6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</row>
    <row r="59" spans="1:6">
      <c r="A59">
        <v>58</v>
      </c>
      <c r="B59">
        <v>14</v>
      </c>
      <c r="C59">
        <v>1.7</v>
      </c>
      <c r="D59">
        <v>3.6</v>
      </c>
      <c r="F59">
        <v>1.2</v>
      </c>
    </row>
    <row r="60" spans="1:6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</row>
    <row r="61" spans="1:6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</row>
    <row r="62" spans="1:6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</row>
    <row r="63" spans="1:6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</row>
    <row r="64" spans="1:6">
      <c r="A64">
        <v>63</v>
      </c>
      <c r="B64">
        <v>17</v>
      </c>
      <c r="C64">
        <v>5.3</v>
      </c>
      <c r="E64">
        <v>47.1</v>
      </c>
      <c r="F64">
        <v>0.9</v>
      </c>
    </row>
    <row r="65" spans="1:6">
      <c r="A65">
        <v>64</v>
      </c>
      <c r="B65">
        <v>14</v>
      </c>
      <c r="C65">
        <v>2.5</v>
      </c>
      <c r="D65">
        <v>2.7</v>
      </c>
      <c r="F65">
        <v>1.4</v>
      </c>
    </row>
    <row r="66" spans="1:6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</row>
    <row r="67" spans="1:6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</row>
    <row r="68" spans="1:6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</row>
    <row r="69" spans="1:6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</row>
    <row r="70" spans="1:6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</row>
    <row r="71" spans="1:6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</row>
    <row r="72" spans="1:6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</row>
    <row r="73" spans="1:6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</row>
    <row r="74" spans="1:6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</row>
    <row r="75" spans="1:6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</row>
    <row r="76" spans="1:6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</row>
    <row r="77" spans="1:6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</row>
    <row r="78" spans="1:6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</row>
    <row r="79" spans="1:6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</row>
    <row r="80" spans="1:6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</row>
    <row r="81" spans="1:6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</row>
    <row r="82" spans="1:6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</row>
    <row r="83" spans="1:6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</row>
    <row r="84" spans="1:6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</row>
    <row r="85" spans="1:6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</row>
    <row r="86" spans="1:6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</row>
    <row r="87" spans="1:6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</row>
    <row r="88" spans="1:6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</row>
    <row r="89" spans="1:6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</row>
    <row r="90" spans="1:6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</row>
    <row r="91" spans="1:6">
      <c r="A91">
        <v>90</v>
      </c>
      <c r="B91">
        <v>15</v>
      </c>
      <c r="D91">
        <v>6.9</v>
      </c>
      <c r="E91">
        <v>90</v>
      </c>
      <c r="F91">
        <v>0</v>
      </c>
    </row>
    <row r="92" spans="1:6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</row>
    <row r="93" spans="1:6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</row>
    <row r="94" spans="1:6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</row>
    <row r="95" spans="1:6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</row>
    <row r="96" spans="1:6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</row>
    <row r="97" spans="1:6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</row>
    <row r="98" spans="1:6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</row>
    <row r="99" spans="1:6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</row>
    <row r="100" spans="1:6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</row>
    <row r="101" spans="1:6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</row>
    <row r="102" spans="1:6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</row>
    <row r="103" spans="1:6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</row>
    <row r="104" spans="1:6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</row>
    <row r="105" spans="1:6">
      <c r="A105">
        <v>104</v>
      </c>
      <c r="B105">
        <v>14</v>
      </c>
      <c r="D105">
        <v>3.6</v>
      </c>
      <c r="E105">
        <v>83</v>
      </c>
      <c r="F105">
        <v>2.2000000000000002</v>
      </c>
    </row>
    <row r="106" spans="1:6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</row>
    <row r="107" spans="1:6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</row>
    <row r="108" spans="1:6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</row>
    <row r="109" spans="1:6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</row>
    <row r="110" spans="1:6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</row>
    <row r="111" spans="1:6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</row>
    <row r="112" spans="1:6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</row>
    <row r="113" spans="1:6">
      <c r="A113">
        <v>112</v>
      </c>
      <c r="B113">
        <v>15</v>
      </c>
      <c r="C113">
        <v>2.9</v>
      </c>
      <c r="E113">
        <v>56.4</v>
      </c>
      <c r="F113">
        <v>1.4</v>
      </c>
    </row>
    <row r="114" spans="1:6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</row>
    <row r="115" spans="1:6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</row>
    <row r="116" spans="1:6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</row>
    <row r="117" spans="1:6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:6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</row>
    <row r="119" spans="1:6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</row>
    <row r="120" spans="1:6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</row>
    <row r="121" spans="1:6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</row>
    <row r="122" spans="1:6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</row>
    <row r="123" spans="1:6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</row>
    <row r="124" spans="1:6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</row>
    <row r="125" spans="1:6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</row>
    <row r="126" spans="1:6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</row>
    <row r="127" spans="1:6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</row>
    <row r="128" spans="1:6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</row>
    <row r="129" spans="1:6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</row>
    <row r="130" spans="1:6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</row>
    <row r="131" spans="1:6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</row>
    <row r="132" spans="1:6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</row>
    <row r="133" spans="1:6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</row>
    <row r="134" spans="1:6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</row>
    <row r="135" spans="1:6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</row>
    <row r="136" spans="1:6">
      <c r="A136">
        <v>135</v>
      </c>
      <c r="B136">
        <v>15</v>
      </c>
      <c r="D136">
        <v>4.7</v>
      </c>
      <c r="E136">
        <v>74.5</v>
      </c>
      <c r="F136">
        <v>1.4</v>
      </c>
    </row>
    <row r="137" spans="1:6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</row>
    <row r="138" spans="1:6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</row>
    <row r="139" spans="1:6">
      <c r="A139">
        <v>138</v>
      </c>
      <c r="B139">
        <v>14</v>
      </c>
      <c r="C139">
        <v>3.1</v>
      </c>
      <c r="D139">
        <v>2.2999999999999998</v>
      </c>
      <c r="F139">
        <v>1.2</v>
      </c>
    </row>
    <row r="140" spans="1:6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</row>
    <row r="141" spans="1:6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</row>
    <row r="142" spans="1:6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</row>
    <row r="143" spans="1:6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</row>
    <row r="144" spans="1:6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</row>
    <row r="145" spans="1:6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</row>
    <row r="146" spans="1:6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</row>
    <row r="147" spans="1:6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</row>
    <row r="148" spans="1:6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</row>
    <row r="149" spans="1:6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</row>
    <row r="150" spans="1:6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</row>
    <row r="151" spans="1:6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</row>
    <row r="152" spans="1:6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</row>
    <row r="153" spans="1:6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</row>
    <row r="154" spans="1:6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</row>
    <row r="155" spans="1:6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</row>
    <row r="156" spans="1:6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</row>
    <row r="157" spans="1:6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</row>
    <row r="158" spans="1:6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</row>
    <row r="159" spans="1:6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</row>
    <row r="160" spans="1:6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</row>
    <row r="161" spans="1:6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</row>
    <row r="162" spans="1:6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</row>
    <row r="163" spans="1:6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</row>
    <row r="164" spans="1:6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</row>
    <row r="165" spans="1:6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</row>
    <row r="166" spans="1:6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</row>
    <row r="167" spans="1:6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</row>
    <row r="168" spans="1:6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</row>
    <row r="169" spans="1:6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</row>
    <row r="170" spans="1:6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</row>
    <row r="171" spans="1:6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</row>
    <row r="172" spans="1:6">
      <c r="A172">
        <v>171</v>
      </c>
      <c r="B172">
        <v>13</v>
      </c>
      <c r="C172">
        <v>4.5</v>
      </c>
      <c r="E172">
        <v>95.7</v>
      </c>
      <c r="F172">
        <v>1.5</v>
      </c>
    </row>
    <row r="173" spans="1:6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</row>
    <row r="174" spans="1:6">
      <c r="A174">
        <v>173</v>
      </c>
      <c r="B174">
        <v>14</v>
      </c>
      <c r="C174">
        <v>3</v>
      </c>
      <c r="D174">
        <v>4.5999999999999996</v>
      </c>
      <c r="F174">
        <v>1.6</v>
      </c>
    </row>
    <row r="175" spans="1:6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</row>
    <row r="176" spans="1:6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</row>
    <row r="177" spans="1:6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</row>
    <row r="178" spans="1:6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</row>
    <row r="179" spans="1:6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</row>
    <row r="180" spans="1:6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</row>
    <row r="181" spans="1:6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</row>
    <row r="182" spans="1:6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</row>
    <row r="183" spans="1:6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</row>
    <row r="184" spans="1:6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</row>
    <row r="185" spans="1:6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</row>
    <row r="186" spans="1:6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</row>
    <row r="187" spans="1:6">
      <c r="A187">
        <v>186</v>
      </c>
      <c r="B187">
        <v>16</v>
      </c>
      <c r="C187">
        <v>2.7</v>
      </c>
      <c r="E187">
        <v>74.7</v>
      </c>
      <c r="F187">
        <v>1</v>
      </c>
    </row>
    <row r="188" spans="1:6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</row>
    <row r="189" spans="1:6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</row>
    <row r="190" spans="1:6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</row>
    <row r="191" spans="1:6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</row>
    <row r="192" spans="1:6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</row>
    <row r="193" spans="1:6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</row>
    <row r="194" spans="1:6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</row>
    <row r="195" spans="1:6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</row>
    <row r="196" spans="1:6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</row>
    <row r="197" spans="1:6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</row>
    <row r="198" spans="1:6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</row>
    <row r="199" spans="1:6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</row>
    <row r="200" spans="1:6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</row>
    <row r="201" spans="1:6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</row>
    <row r="202" spans="1:6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</row>
    <row r="203" spans="1:6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</row>
    <row r="204" spans="1:6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</row>
    <row r="205" spans="1:6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</row>
    <row r="206" spans="1:6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>
      <selection activeCell="D1" sqref="D1:E1048576"/>
    </sheetView>
  </sheetViews>
  <sheetFormatPr defaultRowHeight="14.4"/>
  <cols>
    <col min="1" max="1" width="10" bestFit="1" customWidth="1"/>
    <col min="2" max="2" width="6.44140625" style="2" bestFit="1" customWidth="1"/>
    <col min="3" max="3" width="11.33203125" bestFit="1" customWidth="1"/>
    <col min="4" max="4" width="16.21875" customWidth="1"/>
    <col min="5" max="5" width="14" style="1" customWidth="1"/>
    <col min="6" max="6" width="20.21875" style="1" bestFit="1" customWidth="1"/>
    <col min="7" max="7" width="18.77734375" customWidth="1"/>
    <col min="8" max="8" width="29.44140625" customWidth="1"/>
    <col min="10" max="10" width="16.77734375" customWidth="1"/>
  </cols>
  <sheetData>
    <row r="1" spans="1:10" ht="31.2">
      <c r="A1" s="3" t="s">
        <v>6</v>
      </c>
      <c r="B1" s="4" t="s">
        <v>1</v>
      </c>
      <c r="C1" s="3" t="s">
        <v>7</v>
      </c>
      <c r="D1" s="3" t="s">
        <v>8</v>
      </c>
      <c r="E1" s="5" t="s">
        <v>4</v>
      </c>
      <c r="F1" s="5" t="s">
        <v>5</v>
      </c>
      <c r="G1" s="3" t="s">
        <v>9</v>
      </c>
      <c r="H1" s="3" t="s">
        <v>10</v>
      </c>
      <c r="I1" s="3" t="s">
        <v>11</v>
      </c>
      <c r="J1" s="19" t="s">
        <v>25</v>
      </c>
    </row>
    <row r="2" spans="1:10">
      <c r="A2" s="6">
        <v>1</v>
      </c>
      <c r="B2" s="2">
        <v>16</v>
      </c>
      <c r="C2" s="7">
        <v>2.5</v>
      </c>
      <c r="D2" s="7">
        <v>2.7</v>
      </c>
      <c r="E2" s="7">
        <v>75</v>
      </c>
      <c r="F2" s="7">
        <v>1.6</v>
      </c>
      <c r="G2" s="8" t="str">
        <f>IF(D2&lt;=2,"0-2",IF(D2&lt;=4,"2-D64","&gt;4"))</f>
        <v>2-D64</v>
      </c>
      <c r="H2" s="6" t="str">
        <f>IF(C2&lt;=2,"0-2 hrs", IF(C2&lt;=4,"3-4 hrs", IF(C2&lt;=6,"5-6 hrs","7+ hrs")))</f>
        <v>3-4 hrs</v>
      </c>
      <c r="I2" s="8" t="str">
        <f>IF(B2&lt;=12,"&lt;=12", IF(B2&lt;=14,"13-14", IF(B2&lt;=16,"15-16","17+")))</f>
        <v>15-16</v>
      </c>
      <c r="J2" t="str">
        <f>IF(D2&lt;=2,"0-2 hrs", IF(D2&lt;=4,"2-4 hrs", IF(D2&lt;=6,"4-6 hrs", IF(D2&lt;=8,"6-8 hrs","8-10 hrs"))))</f>
        <v>2-4 hrs</v>
      </c>
    </row>
    <row r="3" spans="1:10">
      <c r="A3" s="6">
        <v>2</v>
      </c>
      <c r="B3" s="2">
        <v>17</v>
      </c>
      <c r="C3" s="7">
        <v>2.7</v>
      </c>
      <c r="D3" s="7">
        <v>4</v>
      </c>
      <c r="E3" s="7">
        <v>68.099999999999994</v>
      </c>
      <c r="F3" s="7">
        <v>0.7</v>
      </c>
      <c r="G3" s="8" t="str">
        <f t="shared" ref="G3:G66" si="0">IF(D3&lt;=2,"0-2",IF(D3&lt;=4,"2-D64","&gt;4"))</f>
        <v>2-D64</v>
      </c>
      <c r="H3" s="6" t="str">
        <f t="shared" ref="H3:H66" si="1">IF(C3&lt;=2,"0-2 hrs", IF(C3&lt;=4,"3-4 hrs", IF(C3&lt;=6,"5-6 hrs","7+ hrs")))</f>
        <v>3-4 hrs</v>
      </c>
      <c r="I3" s="8" t="str">
        <f>IF(B3&lt;=12,"&lt;=12", IF(B3&lt;=14,"13-14", IF(B3&lt;=16,"15-16","17+")))</f>
        <v>17+</v>
      </c>
      <c r="J3" t="str">
        <f t="shared" ref="J3:J66" si="2">IF(D3&lt;=2,"0-2 hrs", IF(D3&lt;=4,"2-4 hrs", IF(D3&lt;=6,"4-6 hrs", IF(D3&lt;=8,"6-8 hrs","8-10 hrs"))))</f>
        <v>2-4 hrs</v>
      </c>
    </row>
    <row r="4" spans="1:10">
      <c r="A4" s="6">
        <v>3</v>
      </c>
      <c r="B4" s="2">
        <v>15</v>
      </c>
      <c r="C4" s="7">
        <v>3</v>
      </c>
      <c r="D4" s="7">
        <v>4.3</v>
      </c>
      <c r="E4" s="7">
        <v>67.900000000000006</v>
      </c>
      <c r="F4" s="7">
        <v>1.5</v>
      </c>
      <c r="G4" s="8" t="str">
        <f t="shared" si="0"/>
        <v>&gt;4</v>
      </c>
      <c r="H4" s="6" t="str">
        <f t="shared" si="1"/>
        <v>3-4 hrs</v>
      </c>
      <c r="I4" s="8" t="str">
        <f>IF(B4&lt;=12,"&lt;=12", IF(B4&lt;=14,"13-14", IF(B4&lt;=16,"15-16","17+")))</f>
        <v>15-16</v>
      </c>
      <c r="J4" t="str">
        <f t="shared" si="2"/>
        <v>4-6 hrs</v>
      </c>
    </row>
    <row r="5" spans="1:10">
      <c r="A5" s="6">
        <v>4</v>
      </c>
      <c r="B5" s="2">
        <v>17</v>
      </c>
      <c r="C5" s="7">
        <v>3</v>
      </c>
      <c r="D5" s="7">
        <v>2.8</v>
      </c>
      <c r="E5" s="7">
        <v>47.2</v>
      </c>
      <c r="F5" s="7">
        <v>1.8</v>
      </c>
      <c r="G5" s="8" t="str">
        <f t="shared" si="0"/>
        <v>2-D64</v>
      </c>
      <c r="H5" s="6" t="str">
        <f t="shared" si="1"/>
        <v>3-4 hrs</v>
      </c>
      <c r="I5" s="8" t="str">
        <f>IF(B5&lt;=12,"&lt;=12", IF(B5&lt;=14,"13-14", IF(B5&lt;=16,"15-16","17+")))</f>
        <v>17+</v>
      </c>
      <c r="J5" t="str">
        <f t="shared" si="2"/>
        <v>2-4 hrs</v>
      </c>
    </row>
    <row r="6" spans="1:10">
      <c r="A6" s="6">
        <v>5</v>
      </c>
      <c r="B6" s="2">
        <v>17</v>
      </c>
      <c r="C6" s="7">
        <v>0</v>
      </c>
      <c r="D6" s="7">
        <v>1.8</v>
      </c>
      <c r="E6" s="7">
        <v>78</v>
      </c>
      <c r="F6" s="7">
        <v>1.4</v>
      </c>
      <c r="G6" s="8" t="str">
        <f t="shared" si="0"/>
        <v>0-2</v>
      </c>
      <c r="H6" s="6" t="str">
        <f t="shared" si="1"/>
        <v>0-2 hrs</v>
      </c>
      <c r="I6" s="8" t="str">
        <f>IF(B6&lt;=12,"&lt;=12", IF(B6&lt;=14,"13-14", IF(B6&lt;=16,"15-16","17+")))</f>
        <v>17+</v>
      </c>
      <c r="J6" t="str">
        <f t="shared" si="2"/>
        <v>0-2 hrs</v>
      </c>
    </row>
    <row r="7" spans="1:10">
      <c r="A7" s="6">
        <v>6</v>
      </c>
      <c r="B7" s="2">
        <v>14</v>
      </c>
      <c r="C7" s="7">
        <v>1.3</v>
      </c>
      <c r="D7" s="7">
        <v>4.4000000000000004</v>
      </c>
      <c r="E7" s="7">
        <v>71.5</v>
      </c>
      <c r="F7" s="7">
        <v>0.4</v>
      </c>
      <c r="G7" s="8" t="str">
        <f t="shared" si="0"/>
        <v>&gt;4</v>
      </c>
      <c r="H7" s="6" t="str">
        <f t="shared" si="1"/>
        <v>0-2 hrs</v>
      </c>
      <c r="I7" s="8" t="str">
        <f>IF(B7&lt;=12,"&lt;=12", IF(B7&lt;=14,"13-14", IF(B7&lt;=16,"15-16","17+")))</f>
        <v>13-14</v>
      </c>
      <c r="J7" t="str">
        <f t="shared" si="2"/>
        <v>4-6 hrs</v>
      </c>
    </row>
    <row r="8" spans="1:10">
      <c r="A8" s="6">
        <v>7</v>
      </c>
      <c r="B8" s="2">
        <v>15</v>
      </c>
      <c r="C8" s="7">
        <v>3.3</v>
      </c>
      <c r="D8" s="7">
        <v>6.7</v>
      </c>
      <c r="E8" s="7">
        <v>88</v>
      </c>
      <c r="F8" s="7">
        <v>2.9</v>
      </c>
      <c r="G8" s="8" t="str">
        <f t="shared" si="0"/>
        <v>&gt;4</v>
      </c>
      <c r="H8" s="6" t="str">
        <f t="shared" si="1"/>
        <v>3-4 hrs</v>
      </c>
      <c r="I8" s="8" t="str">
        <f>IF(B8&lt;=12,"&lt;=12", IF(B8&lt;=14,"13-14", IF(B8&lt;=16,"15-16","17+")))</f>
        <v>15-16</v>
      </c>
      <c r="J8" t="str">
        <f t="shared" si="2"/>
        <v>6-8 hrs</v>
      </c>
    </row>
    <row r="9" spans="1:10">
      <c r="A9" s="6">
        <v>8</v>
      </c>
      <c r="B9" s="2">
        <v>15</v>
      </c>
      <c r="C9" s="7">
        <v>2.9</v>
      </c>
      <c r="D9" s="7">
        <v>4.5999999999999996</v>
      </c>
      <c r="E9" s="7">
        <v>69.3</v>
      </c>
      <c r="F9" s="7">
        <v>1.6</v>
      </c>
      <c r="G9" s="8" t="str">
        <f t="shared" si="0"/>
        <v>&gt;4</v>
      </c>
      <c r="H9" s="6" t="str">
        <f t="shared" si="1"/>
        <v>3-4 hrs</v>
      </c>
      <c r="I9" s="8" t="str">
        <f>IF(B9&lt;=12,"&lt;=12", IF(B9&lt;=14,"13-14", IF(B9&lt;=16,"15-16","17+")))</f>
        <v>15-16</v>
      </c>
      <c r="J9" t="str">
        <f t="shared" si="2"/>
        <v>4-6 hrs</v>
      </c>
    </row>
    <row r="10" spans="1:10">
      <c r="A10" s="6">
        <v>9</v>
      </c>
      <c r="B10" s="2">
        <v>15</v>
      </c>
      <c r="C10" s="7">
        <v>1.4</v>
      </c>
      <c r="D10" s="7">
        <v>4.0999999999999996</v>
      </c>
      <c r="E10" s="7">
        <v>75.7</v>
      </c>
      <c r="F10" s="7">
        <v>0.9</v>
      </c>
      <c r="G10" s="8" t="str">
        <f t="shared" si="0"/>
        <v>&gt;4</v>
      </c>
      <c r="H10" s="6" t="str">
        <f t="shared" si="1"/>
        <v>0-2 hrs</v>
      </c>
      <c r="I10" s="8" t="str">
        <f>IF(B10&lt;=12,"&lt;=12", IF(B10&lt;=14,"13-14", IF(B10&lt;=16,"15-16","17+")))</f>
        <v>15-16</v>
      </c>
      <c r="J10" t="str">
        <f t="shared" si="2"/>
        <v>4-6 hrs</v>
      </c>
    </row>
    <row r="11" spans="1:10">
      <c r="A11" s="6">
        <v>10</v>
      </c>
      <c r="B11" s="2">
        <v>17</v>
      </c>
      <c r="C11" s="7">
        <v>1.8</v>
      </c>
      <c r="D11" s="7">
        <v>4.0999999999999996</v>
      </c>
      <c r="E11" s="7">
        <v>78.3</v>
      </c>
      <c r="F11" s="7">
        <v>2.8</v>
      </c>
      <c r="G11" s="8" t="str">
        <f t="shared" si="0"/>
        <v>&gt;4</v>
      </c>
      <c r="H11" s="6" t="str">
        <f t="shared" si="1"/>
        <v>0-2 hrs</v>
      </c>
      <c r="I11" s="8" t="str">
        <f>IF(B11&lt;=12,"&lt;=12", IF(B11&lt;=14,"13-14", IF(B11&lt;=16,"15-16","17+")))</f>
        <v>17+</v>
      </c>
      <c r="J11" t="str">
        <f t="shared" si="2"/>
        <v>4-6 hrs</v>
      </c>
    </row>
    <row r="12" spans="1:10">
      <c r="A12" s="6">
        <v>11</v>
      </c>
      <c r="B12" s="2">
        <v>16</v>
      </c>
      <c r="C12" s="7">
        <v>3.4</v>
      </c>
      <c r="D12" s="7">
        <v>3.6</v>
      </c>
      <c r="E12" s="7">
        <v>52.5</v>
      </c>
      <c r="F12" s="7">
        <v>2</v>
      </c>
      <c r="G12" s="8" t="str">
        <f t="shared" si="0"/>
        <v>2-D64</v>
      </c>
      <c r="H12" s="6" t="str">
        <f t="shared" si="1"/>
        <v>3-4 hrs</v>
      </c>
      <c r="I12" s="8" t="str">
        <f>IF(B12&lt;=12,"&lt;=12", IF(B12&lt;=14,"13-14", IF(B12&lt;=16,"15-16","17+")))</f>
        <v>15-16</v>
      </c>
      <c r="J12" t="str">
        <f t="shared" si="2"/>
        <v>2-4 hrs</v>
      </c>
    </row>
    <row r="13" spans="1:10">
      <c r="A13" s="6">
        <v>12</v>
      </c>
      <c r="B13" s="2">
        <v>15</v>
      </c>
      <c r="C13" s="7">
        <v>3.1</v>
      </c>
      <c r="D13" s="7">
        <v>5.8</v>
      </c>
      <c r="E13" s="7">
        <v>96.2</v>
      </c>
      <c r="F13" s="7">
        <v>0.5</v>
      </c>
      <c r="G13" s="8" t="str">
        <f t="shared" si="0"/>
        <v>&gt;4</v>
      </c>
      <c r="H13" s="6" t="str">
        <f t="shared" si="1"/>
        <v>3-4 hrs</v>
      </c>
      <c r="I13" s="8" t="str">
        <f>IF(B13&lt;=12,"&lt;=12", IF(B13&lt;=14,"13-14", IF(B13&lt;=16,"15-16","17+")))</f>
        <v>15-16</v>
      </c>
      <c r="J13" t="str">
        <f t="shared" si="2"/>
        <v>4-6 hrs</v>
      </c>
    </row>
    <row r="14" spans="1:10">
      <c r="A14" s="6">
        <v>13</v>
      </c>
      <c r="B14" s="2">
        <v>17</v>
      </c>
      <c r="C14" s="7">
        <v>1.8</v>
      </c>
      <c r="D14" s="7">
        <v>0</v>
      </c>
      <c r="E14" s="7">
        <v>65.7</v>
      </c>
      <c r="F14" s="7">
        <v>0.7</v>
      </c>
      <c r="G14" s="8" t="str">
        <f t="shared" si="0"/>
        <v>0-2</v>
      </c>
      <c r="H14" s="6" t="str">
        <f t="shared" si="1"/>
        <v>0-2 hrs</v>
      </c>
      <c r="I14" s="8" t="str">
        <f>IF(B14&lt;=12,"&lt;=12", IF(B14&lt;=14,"13-14", IF(B14&lt;=16,"15-16","17+")))</f>
        <v>17+</v>
      </c>
      <c r="J14" t="str">
        <f t="shared" si="2"/>
        <v>0-2 hrs</v>
      </c>
    </row>
    <row r="15" spans="1:10">
      <c r="A15" s="6">
        <v>14</v>
      </c>
      <c r="B15" s="2">
        <v>14</v>
      </c>
      <c r="C15" s="7">
        <v>2.2000000000000002</v>
      </c>
      <c r="D15" s="7">
        <v>2</v>
      </c>
      <c r="E15" s="7">
        <v>74.900000000000006</v>
      </c>
      <c r="F15" s="7">
        <v>1.3</v>
      </c>
      <c r="G15" s="8" t="str">
        <f t="shared" si="0"/>
        <v>0-2</v>
      </c>
      <c r="H15" s="6" t="str">
        <f t="shared" si="1"/>
        <v>3-4 hrs</v>
      </c>
      <c r="I15" s="8" t="str">
        <f>IF(B15&lt;=12,"&lt;=12", IF(B15&lt;=14,"13-14", IF(B15&lt;=16,"15-16","17+")))</f>
        <v>13-14</v>
      </c>
      <c r="J15" t="str">
        <f t="shared" si="2"/>
        <v>0-2 hrs</v>
      </c>
    </row>
    <row r="16" spans="1:10">
      <c r="A16" s="6">
        <v>15</v>
      </c>
      <c r="B16" s="2">
        <v>16</v>
      </c>
      <c r="C16" s="7">
        <v>2.4</v>
      </c>
      <c r="D16" s="7">
        <v>1.6</v>
      </c>
      <c r="E16" s="7">
        <v>76.400000000000006</v>
      </c>
      <c r="F16" s="7">
        <v>1.7</v>
      </c>
      <c r="G16" s="8" t="str">
        <f t="shared" si="0"/>
        <v>0-2</v>
      </c>
      <c r="H16" s="6" t="str">
        <f t="shared" si="1"/>
        <v>3-4 hrs</v>
      </c>
      <c r="I16" s="8" t="str">
        <f>IF(B16&lt;=12,"&lt;=12", IF(B16&lt;=14,"13-14", IF(B16&lt;=16,"15-16","17+")))</f>
        <v>15-16</v>
      </c>
      <c r="J16" t="str">
        <f t="shared" si="2"/>
        <v>0-2 hrs</v>
      </c>
    </row>
    <row r="17" spans="1:10">
      <c r="A17" s="6">
        <v>16</v>
      </c>
      <c r="B17" s="2">
        <v>14</v>
      </c>
      <c r="C17" s="7">
        <v>3.1</v>
      </c>
      <c r="D17" s="7">
        <v>4.0999999999999996</v>
      </c>
      <c r="E17" s="7">
        <v>61.9</v>
      </c>
      <c r="F17" s="7">
        <v>2</v>
      </c>
      <c r="G17" s="8" t="str">
        <f t="shared" si="0"/>
        <v>&gt;4</v>
      </c>
      <c r="H17" s="6" t="str">
        <f t="shared" si="1"/>
        <v>3-4 hrs</v>
      </c>
      <c r="I17" s="8" t="str">
        <f>IF(B17&lt;=12,"&lt;=12", IF(B17&lt;=14,"13-14", IF(B17&lt;=16,"15-16","17+")))</f>
        <v>13-14</v>
      </c>
      <c r="J17" t="str">
        <f t="shared" si="2"/>
        <v>4-6 hrs</v>
      </c>
    </row>
    <row r="18" spans="1:10">
      <c r="A18" s="6">
        <v>17</v>
      </c>
      <c r="B18" s="2">
        <v>16</v>
      </c>
      <c r="C18" s="7">
        <v>3.7</v>
      </c>
      <c r="D18" s="7">
        <v>5.6</v>
      </c>
      <c r="E18" s="7">
        <v>88.5</v>
      </c>
      <c r="F18" s="7">
        <v>2.2999999999999998</v>
      </c>
      <c r="G18" s="8" t="str">
        <f t="shared" si="0"/>
        <v>&gt;4</v>
      </c>
      <c r="H18" s="6" t="str">
        <f t="shared" si="1"/>
        <v>3-4 hrs</v>
      </c>
      <c r="I18" s="8" t="str">
        <f>IF(B18&lt;=12,"&lt;=12", IF(B18&lt;=14,"13-14", IF(B18&lt;=16,"15-16","17+")))</f>
        <v>15-16</v>
      </c>
      <c r="J18" t="str">
        <f t="shared" si="2"/>
        <v>4-6 hrs</v>
      </c>
    </row>
    <row r="19" spans="1:10">
      <c r="A19" s="6">
        <v>18</v>
      </c>
      <c r="B19" s="2">
        <v>17</v>
      </c>
      <c r="C19" s="7">
        <v>2.6</v>
      </c>
      <c r="D19" s="7">
        <v>4.4000000000000004</v>
      </c>
      <c r="E19" s="7">
        <v>72.7</v>
      </c>
      <c r="F19" s="7">
        <v>1.9</v>
      </c>
      <c r="G19" s="8" t="str">
        <f t="shared" si="0"/>
        <v>&gt;4</v>
      </c>
      <c r="H19" s="6" t="str">
        <f t="shared" si="1"/>
        <v>3-4 hrs</v>
      </c>
      <c r="I19" s="8" t="str">
        <f>IF(B19&lt;=12,"&lt;=12", IF(B19&lt;=14,"13-14", IF(B19&lt;=16,"15-16","17+")))</f>
        <v>17+</v>
      </c>
      <c r="J19" t="str">
        <f t="shared" si="2"/>
        <v>4-6 hrs</v>
      </c>
    </row>
    <row r="20" spans="1:10">
      <c r="A20" s="6">
        <v>19</v>
      </c>
      <c r="B20" s="2">
        <v>13</v>
      </c>
      <c r="C20" s="7">
        <v>0</v>
      </c>
      <c r="D20" s="7">
        <v>3.5</v>
      </c>
      <c r="E20" s="7">
        <v>67.900000000000006</v>
      </c>
      <c r="F20" s="7">
        <v>2.6</v>
      </c>
      <c r="G20" s="8" t="str">
        <f t="shared" si="0"/>
        <v>2-D64</v>
      </c>
      <c r="H20" s="6" t="str">
        <f t="shared" si="1"/>
        <v>0-2 hrs</v>
      </c>
      <c r="I20" s="8" t="str">
        <f>IF(B20&lt;=12,"&lt;=12", IF(B20&lt;=14,"13-14", IF(B20&lt;=16,"15-16","17+")))</f>
        <v>13-14</v>
      </c>
      <c r="J20" t="str">
        <f t="shared" si="2"/>
        <v>2-4 hrs</v>
      </c>
    </row>
    <row r="21" spans="1:10">
      <c r="A21" s="6">
        <v>20</v>
      </c>
      <c r="B21" s="2">
        <v>16</v>
      </c>
      <c r="C21" s="7">
        <v>3.4</v>
      </c>
      <c r="D21" s="7">
        <v>4.7</v>
      </c>
      <c r="E21" s="7">
        <v>71.400000000000006</v>
      </c>
      <c r="F21" s="7">
        <v>1.6</v>
      </c>
      <c r="G21" s="8" t="str">
        <f t="shared" si="0"/>
        <v>&gt;4</v>
      </c>
      <c r="H21" s="6" t="str">
        <f t="shared" si="1"/>
        <v>3-4 hrs</v>
      </c>
      <c r="I21" s="8" t="str">
        <f>IF(B21&lt;=12,"&lt;=12", IF(B21&lt;=14,"13-14", IF(B21&lt;=16,"15-16","17+")))</f>
        <v>15-16</v>
      </c>
      <c r="J21" t="str">
        <f t="shared" si="2"/>
        <v>4-6 hrs</v>
      </c>
    </row>
    <row r="22" spans="1:10">
      <c r="A22" s="6">
        <v>21</v>
      </c>
      <c r="B22" s="2">
        <v>14</v>
      </c>
      <c r="C22" s="7">
        <v>2.7</v>
      </c>
      <c r="D22" s="7">
        <v>4.3</v>
      </c>
      <c r="E22" s="7">
        <v>77.599999999999994</v>
      </c>
      <c r="F22" s="7">
        <v>0.9</v>
      </c>
      <c r="G22" s="8" t="str">
        <f t="shared" si="0"/>
        <v>&gt;4</v>
      </c>
      <c r="H22" s="6" t="str">
        <f t="shared" si="1"/>
        <v>3-4 hrs</v>
      </c>
      <c r="I22" s="8" t="str">
        <f>IF(B22&lt;=12,"&lt;=12", IF(B22&lt;=14,"13-14", IF(B22&lt;=16,"15-16","17+")))</f>
        <v>13-14</v>
      </c>
      <c r="J22" t="str">
        <f t="shared" si="2"/>
        <v>4-6 hrs</v>
      </c>
    </row>
    <row r="23" spans="1:10">
      <c r="A23" s="6">
        <v>22</v>
      </c>
      <c r="B23" s="2">
        <v>17</v>
      </c>
      <c r="C23" s="7">
        <v>1.1000000000000001</v>
      </c>
      <c r="D23" s="7">
        <v>5.2</v>
      </c>
      <c r="E23" s="7">
        <v>70.099999999999994</v>
      </c>
      <c r="F23" s="7">
        <v>1.5</v>
      </c>
      <c r="G23" s="8" t="str">
        <f t="shared" si="0"/>
        <v>&gt;4</v>
      </c>
      <c r="H23" s="6" t="str">
        <f t="shared" si="1"/>
        <v>0-2 hrs</v>
      </c>
      <c r="I23" s="8" t="str">
        <f>IF(B23&lt;=12,"&lt;=12", IF(B23&lt;=14,"13-14", IF(B23&lt;=16,"15-16","17+")))</f>
        <v>17+</v>
      </c>
      <c r="J23" t="str">
        <f t="shared" si="2"/>
        <v>4-6 hrs</v>
      </c>
    </row>
    <row r="24" spans="1:10">
      <c r="A24" s="6">
        <v>23</v>
      </c>
      <c r="B24" s="2">
        <v>16</v>
      </c>
      <c r="C24" s="7">
        <v>1.5</v>
      </c>
      <c r="D24" s="7">
        <v>6</v>
      </c>
      <c r="E24" s="7">
        <v>78.8</v>
      </c>
      <c r="F24" s="7">
        <v>1.4</v>
      </c>
      <c r="G24" s="8" t="str">
        <f t="shared" si="0"/>
        <v>&gt;4</v>
      </c>
      <c r="H24" s="6" t="str">
        <f t="shared" si="1"/>
        <v>0-2 hrs</v>
      </c>
      <c r="I24" s="8" t="str">
        <f>IF(B24&lt;=12,"&lt;=12", IF(B24&lt;=14,"13-14", IF(B24&lt;=16,"15-16","17+")))</f>
        <v>15-16</v>
      </c>
      <c r="J24" t="str">
        <f t="shared" si="2"/>
        <v>4-6 hrs</v>
      </c>
    </row>
    <row r="25" spans="1:10">
      <c r="A25" s="6">
        <v>24</v>
      </c>
      <c r="B25" s="2">
        <v>13</v>
      </c>
      <c r="C25" s="7">
        <v>3.2</v>
      </c>
      <c r="D25" s="7">
        <v>2.6</v>
      </c>
      <c r="E25" s="7">
        <v>53.2</v>
      </c>
      <c r="F25" s="7">
        <v>0</v>
      </c>
      <c r="G25" s="8" t="str">
        <f t="shared" si="0"/>
        <v>2-D64</v>
      </c>
      <c r="H25" s="6" t="str">
        <f t="shared" si="1"/>
        <v>3-4 hrs</v>
      </c>
      <c r="I25" s="8" t="str">
        <f>IF(B25&lt;=12,"&lt;=12", IF(B25&lt;=14,"13-14", IF(B25&lt;=16,"15-16","17+")))</f>
        <v>13-14</v>
      </c>
      <c r="J25" t="str">
        <f t="shared" si="2"/>
        <v>2-4 hrs</v>
      </c>
    </row>
    <row r="26" spans="1:10">
      <c r="A26" s="6">
        <v>25</v>
      </c>
      <c r="B26" s="2">
        <v>13</v>
      </c>
      <c r="C26" s="7">
        <v>0.8</v>
      </c>
      <c r="D26" s="7">
        <v>0.5</v>
      </c>
      <c r="E26" s="7">
        <v>62.5</v>
      </c>
      <c r="F26" s="7">
        <v>1.1000000000000001</v>
      </c>
      <c r="G26" s="8" t="str">
        <f t="shared" si="0"/>
        <v>0-2</v>
      </c>
      <c r="H26" s="6" t="str">
        <f t="shared" si="1"/>
        <v>0-2 hrs</v>
      </c>
      <c r="I26" s="8" t="str">
        <f>IF(B26&lt;=12,"&lt;=12", IF(B26&lt;=14,"13-14", IF(B26&lt;=16,"15-16","17+")))</f>
        <v>13-14</v>
      </c>
      <c r="J26" t="str">
        <f t="shared" si="2"/>
        <v>0-2 hrs</v>
      </c>
    </row>
    <row r="27" spans="1:10">
      <c r="A27" s="6">
        <v>26</v>
      </c>
      <c r="B27" s="2">
        <v>15</v>
      </c>
      <c r="C27" s="7">
        <v>2.6</v>
      </c>
      <c r="D27" s="7">
        <v>3.5</v>
      </c>
      <c r="E27" s="7">
        <v>48.6</v>
      </c>
      <c r="F27" s="7">
        <v>1.8</v>
      </c>
      <c r="G27" s="8" t="str">
        <f t="shared" si="0"/>
        <v>2-D64</v>
      </c>
      <c r="H27" s="6" t="str">
        <f t="shared" si="1"/>
        <v>3-4 hrs</v>
      </c>
      <c r="I27" s="8" t="str">
        <f>IF(B27&lt;=12,"&lt;=12", IF(B27&lt;=14,"13-14", IF(B27&lt;=16,"15-16","17+")))</f>
        <v>15-16</v>
      </c>
      <c r="J27" t="str">
        <f t="shared" si="2"/>
        <v>2-4 hrs</v>
      </c>
    </row>
    <row r="28" spans="1:10">
      <c r="A28" s="6">
        <v>27</v>
      </c>
      <c r="B28" s="2">
        <v>15</v>
      </c>
      <c r="C28" s="7">
        <v>3.5</v>
      </c>
      <c r="D28" s="7">
        <v>2.5</v>
      </c>
      <c r="E28" s="7">
        <v>90</v>
      </c>
      <c r="F28" s="7">
        <v>1.2</v>
      </c>
      <c r="G28" s="8" t="str">
        <f t="shared" si="0"/>
        <v>2-D64</v>
      </c>
      <c r="H28" s="6" t="str">
        <f t="shared" si="1"/>
        <v>3-4 hrs</v>
      </c>
      <c r="I28" s="8" t="str">
        <f>IF(B28&lt;=12,"&lt;=12", IF(B28&lt;=14,"13-14", IF(B28&lt;=16,"15-16","17+")))</f>
        <v>15-16</v>
      </c>
      <c r="J28" t="str">
        <f t="shared" si="2"/>
        <v>2-4 hrs</v>
      </c>
    </row>
    <row r="29" spans="1:10">
      <c r="A29" s="6">
        <v>28</v>
      </c>
      <c r="B29" s="2">
        <v>14</v>
      </c>
      <c r="C29" s="7">
        <v>2.7</v>
      </c>
      <c r="D29" s="7">
        <v>5.2</v>
      </c>
      <c r="E29" s="7">
        <v>89.8</v>
      </c>
      <c r="F29" s="7">
        <v>1</v>
      </c>
      <c r="G29" s="8" t="str">
        <f t="shared" si="0"/>
        <v>&gt;4</v>
      </c>
      <c r="H29" s="6" t="str">
        <f t="shared" si="1"/>
        <v>3-4 hrs</v>
      </c>
      <c r="I29" s="8" t="str">
        <f>IF(B29&lt;=12,"&lt;=12", IF(B29&lt;=14,"13-14", IF(B29&lt;=16,"15-16","17+")))</f>
        <v>13-14</v>
      </c>
      <c r="J29" t="str">
        <f t="shared" si="2"/>
        <v>4-6 hrs</v>
      </c>
    </row>
    <row r="30" spans="1:10">
      <c r="A30" s="6">
        <v>29</v>
      </c>
      <c r="B30" s="2">
        <v>16</v>
      </c>
      <c r="C30" s="7">
        <v>1.9</v>
      </c>
      <c r="D30" s="7">
        <v>2.9</v>
      </c>
      <c r="E30" s="7">
        <v>76.3</v>
      </c>
      <c r="F30" s="7">
        <v>2.2000000000000002</v>
      </c>
      <c r="G30" s="8" t="str">
        <f t="shared" si="0"/>
        <v>2-D64</v>
      </c>
      <c r="H30" s="6" t="str">
        <f t="shared" si="1"/>
        <v>0-2 hrs</v>
      </c>
      <c r="I30" s="8" t="str">
        <f>IF(B30&lt;=12,"&lt;=12", IF(B30&lt;=14,"13-14", IF(B30&lt;=16,"15-16","17+")))</f>
        <v>15-16</v>
      </c>
      <c r="J30" t="str">
        <f t="shared" si="2"/>
        <v>2-4 hrs</v>
      </c>
    </row>
    <row r="31" spans="1:10">
      <c r="A31" s="6">
        <v>30</v>
      </c>
      <c r="B31" s="2">
        <v>16</v>
      </c>
      <c r="C31" s="7">
        <v>1.7</v>
      </c>
      <c r="D31" s="7">
        <v>1.2</v>
      </c>
      <c r="E31" s="7">
        <v>59.9</v>
      </c>
      <c r="F31" s="7">
        <v>0.8</v>
      </c>
      <c r="G31" s="8" t="str">
        <f t="shared" si="0"/>
        <v>0-2</v>
      </c>
      <c r="H31" s="6" t="str">
        <f t="shared" si="1"/>
        <v>0-2 hrs</v>
      </c>
      <c r="I31" s="8" t="str">
        <f>IF(B31&lt;=12,"&lt;=12", IF(B31&lt;=14,"13-14", IF(B31&lt;=16,"15-16","17+")))</f>
        <v>15-16</v>
      </c>
      <c r="J31" t="str">
        <f t="shared" si="2"/>
        <v>0-2 hrs</v>
      </c>
    </row>
    <row r="32" spans="1:10">
      <c r="A32" s="6">
        <v>31</v>
      </c>
      <c r="B32" s="2">
        <v>15</v>
      </c>
      <c r="C32" s="7">
        <v>3.3</v>
      </c>
      <c r="D32" s="7">
        <v>3.1</v>
      </c>
      <c r="E32" s="7">
        <v>93.9</v>
      </c>
      <c r="F32" s="7">
        <v>2.1</v>
      </c>
      <c r="G32" s="8" t="str">
        <f t="shared" si="0"/>
        <v>2-D64</v>
      </c>
      <c r="H32" s="6" t="str">
        <f t="shared" si="1"/>
        <v>3-4 hrs</v>
      </c>
      <c r="I32" s="8" t="str">
        <f>IF(B32&lt;=12,"&lt;=12", IF(B32&lt;=14,"13-14", IF(B32&lt;=16,"15-16","17+")))</f>
        <v>15-16</v>
      </c>
      <c r="J32" t="str">
        <f t="shared" si="2"/>
        <v>2-4 hrs</v>
      </c>
    </row>
    <row r="33" spans="1:10">
      <c r="A33" s="6">
        <v>32</v>
      </c>
      <c r="B33" s="2">
        <v>16</v>
      </c>
      <c r="C33" s="7">
        <v>3</v>
      </c>
      <c r="D33" s="7">
        <v>1.8</v>
      </c>
      <c r="E33" s="7">
        <v>64</v>
      </c>
      <c r="F33" s="7">
        <v>0.4</v>
      </c>
      <c r="G33" s="8" t="str">
        <f t="shared" si="0"/>
        <v>0-2</v>
      </c>
      <c r="H33" s="6" t="str">
        <f t="shared" si="1"/>
        <v>3-4 hrs</v>
      </c>
      <c r="I33" s="8" t="str">
        <f>IF(B33&lt;=12,"&lt;=12", IF(B33&lt;=14,"13-14", IF(B33&lt;=16,"15-16","17+")))</f>
        <v>15-16</v>
      </c>
      <c r="J33" t="str">
        <f t="shared" si="2"/>
        <v>0-2 hrs</v>
      </c>
    </row>
    <row r="34" spans="1:10">
      <c r="A34" s="6">
        <v>33</v>
      </c>
      <c r="B34" s="2">
        <v>16</v>
      </c>
      <c r="C34" s="7">
        <v>2.2000000000000002</v>
      </c>
      <c r="D34" s="7">
        <v>6.4</v>
      </c>
      <c r="E34" s="7">
        <v>67.900000000000006</v>
      </c>
      <c r="F34" s="7">
        <v>3.7</v>
      </c>
      <c r="G34" s="8" t="str">
        <f t="shared" si="0"/>
        <v>&gt;4</v>
      </c>
      <c r="H34" s="6" t="str">
        <f t="shared" si="1"/>
        <v>3-4 hrs</v>
      </c>
      <c r="I34" s="8" t="str">
        <f>IF(B34&lt;=12,"&lt;=12", IF(B34&lt;=14,"13-14", IF(B34&lt;=16,"15-16","17+")))</f>
        <v>15-16</v>
      </c>
      <c r="J34" t="str">
        <f t="shared" si="2"/>
        <v>6-8 hrs</v>
      </c>
    </row>
    <row r="35" spans="1:10">
      <c r="A35" s="6">
        <v>34</v>
      </c>
      <c r="B35" s="2">
        <v>13</v>
      </c>
      <c r="C35" s="7">
        <v>3.6</v>
      </c>
      <c r="D35" s="7">
        <v>4.7</v>
      </c>
      <c r="E35" s="7">
        <v>71.599999999999994</v>
      </c>
      <c r="F35" s="7">
        <v>1.3</v>
      </c>
      <c r="G35" s="8" t="str">
        <f t="shared" si="0"/>
        <v>&gt;4</v>
      </c>
      <c r="H35" s="6" t="str">
        <f t="shared" si="1"/>
        <v>3-4 hrs</v>
      </c>
      <c r="I35" s="8" t="str">
        <f>IF(B35&lt;=12,"&lt;=12", IF(B35&lt;=14,"13-14", IF(B35&lt;=16,"15-16","17+")))</f>
        <v>13-14</v>
      </c>
      <c r="J35" t="str">
        <f t="shared" si="2"/>
        <v>4-6 hrs</v>
      </c>
    </row>
    <row r="36" spans="1:10">
      <c r="A36" s="6">
        <v>35</v>
      </c>
      <c r="B36" s="2">
        <v>15</v>
      </c>
      <c r="C36" s="7">
        <v>3.4</v>
      </c>
      <c r="D36" s="7">
        <v>5</v>
      </c>
      <c r="E36" s="7">
        <v>74.5</v>
      </c>
      <c r="F36" s="7">
        <v>1.2</v>
      </c>
      <c r="G36" s="8" t="str">
        <f t="shared" si="0"/>
        <v>&gt;4</v>
      </c>
      <c r="H36" s="6" t="str">
        <f t="shared" si="1"/>
        <v>3-4 hrs</v>
      </c>
      <c r="I36" s="8" t="str">
        <f>IF(B36&lt;=12,"&lt;=12", IF(B36&lt;=14,"13-14", IF(B36&lt;=16,"15-16","17+")))</f>
        <v>15-16</v>
      </c>
      <c r="J36" t="str">
        <f t="shared" si="2"/>
        <v>4-6 hrs</v>
      </c>
    </row>
    <row r="37" spans="1:10">
      <c r="A37" s="6">
        <v>36</v>
      </c>
      <c r="B37" s="2">
        <v>17</v>
      </c>
      <c r="C37" s="7">
        <v>4.3</v>
      </c>
      <c r="D37" s="7">
        <v>4.8</v>
      </c>
      <c r="E37" s="7">
        <v>76.400000000000006</v>
      </c>
      <c r="F37" s="7">
        <v>2.4</v>
      </c>
      <c r="G37" s="8" t="str">
        <f t="shared" si="0"/>
        <v>&gt;4</v>
      </c>
      <c r="H37" s="6" t="str">
        <f t="shared" si="1"/>
        <v>5-6 hrs</v>
      </c>
      <c r="I37" s="8" t="str">
        <f>IF(B37&lt;=12,"&lt;=12", IF(B37&lt;=14,"13-14", IF(B37&lt;=16,"15-16","17+")))</f>
        <v>17+</v>
      </c>
      <c r="J37" t="str">
        <f t="shared" si="2"/>
        <v>4-6 hrs</v>
      </c>
    </row>
    <row r="38" spans="1:10">
      <c r="A38" s="6">
        <v>37</v>
      </c>
      <c r="B38" s="2">
        <v>15</v>
      </c>
      <c r="C38" s="7">
        <v>3.1</v>
      </c>
      <c r="D38" s="7">
        <v>5.3</v>
      </c>
      <c r="E38" s="7">
        <v>76.8</v>
      </c>
      <c r="F38" s="7">
        <v>1.2</v>
      </c>
      <c r="G38" s="8" t="str">
        <f t="shared" si="0"/>
        <v>&gt;4</v>
      </c>
      <c r="H38" s="6" t="str">
        <f t="shared" si="1"/>
        <v>3-4 hrs</v>
      </c>
      <c r="I38" s="8" t="str">
        <f>IF(B38&lt;=12,"&lt;=12", IF(B38&lt;=14,"13-14", IF(B38&lt;=16,"15-16","17+")))</f>
        <v>15-16</v>
      </c>
      <c r="J38" t="str">
        <f t="shared" si="2"/>
        <v>4-6 hrs</v>
      </c>
    </row>
    <row r="39" spans="1:10">
      <c r="A39" s="6">
        <v>38</v>
      </c>
      <c r="B39" s="2">
        <v>17</v>
      </c>
      <c r="C39" s="7">
        <v>2.2999999999999998</v>
      </c>
      <c r="D39" s="7">
        <v>5.7</v>
      </c>
      <c r="E39" s="7">
        <v>0</v>
      </c>
      <c r="F39" s="7">
        <v>2.7</v>
      </c>
      <c r="G39" s="8" t="str">
        <f t="shared" si="0"/>
        <v>&gt;4</v>
      </c>
      <c r="H39" s="6" t="str">
        <f t="shared" si="1"/>
        <v>3-4 hrs</v>
      </c>
      <c r="I39" s="8" t="str">
        <f>IF(B39&lt;=12,"&lt;=12", IF(B39&lt;=14,"13-14", IF(B39&lt;=16,"15-16","17+")))</f>
        <v>17+</v>
      </c>
      <c r="J39" t="str">
        <f t="shared" si="2"/>
        <v>4-6 hrs</v>
      </c>
    </row>
    <row r="40" spans="1:10">
      <c r="A40" s="6">
        <v>39</v>
      </c>
      <c r="B40" s="2">
        <v>13</v>
      </c>
      <c r="C40" s="7">
        <v>2.4</v>
      </c>
      <c r="D40" s="7">
        <v>3.2</v>
      </c>
      <c r="E40" s="7">
        <v>76.7</v>
      </c>
      <c r="F40" s="7">
        <v>1.8</v>
      </c>
      <c r="G40" s="8" t="str">
        <f t="shared" si="0"/>
        <v>2-D64</v>
      </c>
      <c r="H40" s="6" t="str">
        <f t="shared" si="1"/>
        <v>3-4 hrs</v>
      </c>
      <c r="I40" s="8" t="str">
        <f>IF(B40&lt;=12,"&lt;=12", IF(B40&lt;=14,"13-14", IF(B40&lt;=16,"15-16","17+")))</f>
        <v>13-14</v>
      </c>
      <c r="J40" t="str">
        <f t="shared" si="2"/>
        <v>2-4 hrs</v>
      </c>
    </row>
    <row r="41" spans="1:10">
      <c r="A41" s="6">
        <v>40</v>
      </c>
      <c r="B41" s="2">
        <v>14</v>
      </c>
      <c r="C41" s="7">
        <v>0.6</v>
      </c>
      <c r="D41" s="7">
        <v>1.9</v>
      </c>
      <c r="E41" s="7">
        <v>0</v>
      </c>
      <c r="F41" s="7">
        <v>1.4</v>
      </c>
      <c r="G41" s="8" t="str">
        <f t="shared" si="0"/>
        <v>0-2</v>
      </c>
      <c r="H41" s="6" t="str">
        <f t="shared" si="1"/>
        <v>0-2 hrs</v>
      </c>
      <c r="I41" s="8" t="str">
        <f>IF(B41&lt;=12,"&lt;=12", IF(B41&lt;=14,"13-14", IF(B41&lt;=16,"15-16","17+")))</f>
        <v>13-14</v>
      </c>
      <c r="J41" t="str">
        <f t="shared" si="2"/>
        <v>0-2 hrs</v>
      </c>
    </row>
    <row r="42" spans="1:10">
      <c r="A42" s="6">
        <v>41</v>
      </c>
      <c r="B42" s="2">
        <v>16</v>
      </c>
      <c r="C42" s="7">
        <v>2.7</v>
      </c>
      <c r="D42" s="7">
        <v>2.7</v>
      </c>
      <c r="E42" s="7">
        <v>75.8</v>
      </c>
      <c r="F42" s="7">
        <v>1.3</v>
      </c>
      <c r="G42" s="8" t="str">
        <f t="shared" si="0"/>
        <v>2-D64</v>
      </c>
      <c r="H42" s="6" t="str">
        <f t="shared" si="1"/>
        <v>3-4 hrs</v>
      </c>
      <c r="I42" s="8" t="str">
        <f>IF(B42&lt;=12,"&lt;=12", IF(B42&lt;=14,"13-14", IF(B42&lt;=16,"15-16","17+")))</f>
        <v>15-16</v>
      </c>
      <c r="J42" t="str">
        <f t="shared" si="2"/>
        <v>2-4 hrs</v>
      </c>
    </row>
    <row r="43" spans="1:10">
      <c r="A43" s="6">
        <v>42</v>
      </c>
      <c r="B43" s="2">
        <v>13</v>
      </c>
      <c r="C43" s="7">
        <v>0</v>
      </c>
      <c r="D43" s="7">
        <v>3.9</v>
      </c>
      <c r="E43" s="7">
        <v>75</v>
      </c>
      <c r="F43" s="7">
        <v>2.5</v>
      </c>
      <c r="G43" s="8" t="str">
        <f t="shared" si="0"/>
        <v>2-D64</v>
      </c>
      <c r="H43" s="6" t="str">
        <f t="shared" si="1"/>
        <v>0-2 hrs</v>
      </c>
      <c r="I43" s="8" t="str">
        <f>IF(B43&lt;=12,"&lt;=12", IF(B43&lt;=14,"13-14", IF(B43&lt;=16,"15-16","17+")))</f>
        <v>13-14</v>
      </c>
      <c r="J43" t="str">
        <f t="shared" si="2"/>
        <v>2-4 hrs</v>
      </c>
    </row>
    <row r="44" spans="1:10">
      <c r="A44" s="6">
        <v>43</v>
      </c>
      <c r="B44" s="2">
        <v>16</v>
      </c>
      <c r="C44" s="7">
        <v>1.2</v>
      </c>
      <c r="D44" s="7">
        <v>0.2</v>
      </c>
      <c r="E44" s="7">
        <v>77.599999999999994</v>
      </c>
      <c r="F44" s="7">
        <v>1.7</v>
      </c>
      <c r="G44" s="8" t="str">
        <f t="shared" si="0"/>
        <v>0-2</v>
      </c>
      <c r="H44" s="6" t="str">
        <f t="shared" si="1"/>
        <v>0-2 hrs</v>
      </c>
      <c r="I44" s="8" t="str">
        <f>IF(B44&lt;=12,"&lt;=12", IF(B44&lt;=14,"13-14", IF(B44&lt;=16,"15-16","17+")))</f>
        <v>15-16</v>
      </c>
      <c r="J44" t="str">
        <f t="shared" si="2"/>
        <v>0-2 hrs</v>
      </c>
    </row>
    <row r="45" spans="1:10">
      <c r="A45" s="6">
        <v>44</v>
      </c>
      <c r="B45" s="2">
        <v>14</v>
      </c>
      <c r="C45" s="7">
        <v>2.5</v>
      </c>
      <c r="D45" s="7">
        <v>5.7</v>
      </c>
      <c r="E45" s="7">
        <v>76.400000000000006</v>
      </c>
      <c r="F45" s="7">
        <v>1.8</v>
      </c>
      <c r="G45" s="8" t="str">
        <f t="shared" si="0"/>
        <v>&gt;4</v>
      </c>
      <c r="H45" s="6" t="str">
        <f t="shared" si="1"/>
        <v>3-4 hrs</v>
      </c>
      <c r="I45" s="8" t="str">
        <f>IF(B45&lt;=12,"&lt;=12", IF(B45&lt;=14,"13-14", IF(B45&lt;=16,"15-16","17+")))</f>
        <v>13-14</v>
      </c>
      <c r="J45" t="str">
        <f t="shared" si="2"/>
        <v>4-6 hrs</v>
      </c>
    </row>
    <row r="46" spans="1:10">
      <c r="A46" s="6">
        <v>45</v>
      </c>
      <c r="B46" s="2">
        <v>14</v>
      </c>
      <c r="C46" s="7">
        <v>3.8</v>
      </c>
      <c r="D46" s="7">
        <v>1.2</v>
      </c>
      <c r="E46" s="7">
        <v>65.599999999999994</v>
      </c>
      <c r="F46" s="7">
        <v>1.9</v>
      </c>
      <c r="G46" s="8" t="str">
        <f t="shared" si="0"/>
        <v>0-2</v>
      </c>
      <c r="H46" s="6" t="str">
        <f t="shared" si="1"/>
        <v>3-4 hrs</v>
      </c>
      <c r="I46" s="8" t="str">
        <f>IF(B46&lt;=12,"&lt;=12", IF(B46&lt;=14,"13-14", IF(B46&lt;=16,"15-16","17+")))</f>
        <v>13-14</v>
      </c>
      <c r="J46" t="str">
        <f t="shared" si="2"/>
        <v>0-2 hrs</v>
      </c>
    </row>
    <row r="47" spans="1:10">
      <c r="A47" s="6">
        <v>46</v>
      </c>
      <c r="B47" s="2">
        <v>13</v>
      </c>
      <c r="C47" s="7">
        <v>1.8</v>
      </c>
      <c r="D47" s="7">
        <v>4.9000000000000004</v>
      </c>
      <c r="E47" s="7">
        <v>74.599999999999994</v>
      </c>
      <c r="F47" s="7">
        <v>1.6</v>
      </c>
      <c r="G47" s="8" t="str">
        <f t="shared" si="0"/>
        <v>&gt;4</v>
      </c>
      <c r="H47" s="6" t="str">
        <f t="shared" si="1"/>
        <v>0-2 hrs</v>
      </c>
      <c r="I47" s="8" t="str">
        <f>IF(B47&lt;=12,"&lt;=12", IF(B47&lt;=14,"13-14", IF(B47&lt;=16,"15-16","17+")))</f>
        <v>13-14</v>
      </c>
      <c r="J47" t="str">
        <f t="shared" si="2"/>
        <v>4-6 hrs</v>
      </c>
    </row>
    <row r="48" spans="1:10">
      <c r="A48" s="6">
        <v>47</v>
      </c>
      <c r="B48" s="2">
        <v>14</v>
      </c>
      <c r="C48" s="7">
        <v>1.5</v>
      </c>
      <c r="D48" s="7">
        <v>3.7</v>
      </c>
      <c r="E48" s="7">
        <v>76.5</v>
      </c>
      <c r="F48" s="7">
        <v>1.9</v>
      </c>
      <c r="G48" s="8" t="str">
        <f t="shared" si="0"/>
        <v>2-D64</v>
      </c>
      <c r="H48" s="6" t="str">
        <f t="shared" si="1"/>
        <v>0-2 hrs</v>
      </c>
      <c r="I48" s="8" t="str">
        <f>IF(B48&lt;=12,"&lt;=12", IF(B48&lt;=14,"13-14", IF(B48&lt;=16,"15-16","17+")))</f>
        <v>13-14</v>
      </c>
      <c r="J48" t="str">
        <f t="shared" si="2"/>
        <v>2-4 hrs</v>
      </c>
    </row>
    <row r="49" spans="1:10">
      <c r="A49" s="6">
        <v>48</v>
      </c>
      <c r="B49" s="2">
        <v>17</v>
      </c>
      <c r="C49" s="7">
        <v>3.6</v>
      </c>
      <c r="D49" s="7">
        <v>4.4000000000000004</v>
      </c>
      <c r="E49" s="7">
        <v>57.1</v>
      </c>
      <c r="F49" s="7">
        <v>1.4</v>
      </c>
      <c r="G49" s="8" t="str">
        <f t="shared" si="0"/>
        <v>&gt;4</v>
      </c>
      <c r="H49" s="6" t="str">
        <f t="shared" si="1"/>
        <v>3-4 hrs</v>
      </c>
      <c r="I49" s="8" t="str">
        <f>IF(B49&lt;=12,"&lt;=12", IF(B49&lt;=14,"13-14", IF(B49&lt;=16,"15-16","17+")))</f>
        <v>17+</v>
      </c>
      <c r="J49" t="str">
        <f t="shared" si="2"/>
        <v>4-6 hrs</v>
      </c>
    </row>
    <row r="50" spans="1:10">
      <c r="A50" s="6">
        <v>49</v>
      </c>
      <c r="B50" s="2">
        <v>14</v>
      </c>
      <c r="C50" s="7">
        <v>3.1</v>
      </c>
      <c r="D50" s="7">
        <v>3.3</v>
      </c>
      <c r="E50" s="7">
        <v>67.3</v>
      </c>
      <c r="F50" s="7">
        <v>1.5</v>
      </c>
      <c r="G50" s="8" t="str">
        <f t="shared" si="0"/>
        <v>2-D64</v>
      </c>
      <c r="H50" s="6" t="str">
        <f t="shared" si="1"/>
        <v>3-4 hrs</v>
      </c>
      <c r="I50" s="8" t="str">
        <f>IF(B50&lt;=12,"&lt;=12", IF(B50&lt;=14,"13-14", IF(B50&lt;=16,"15-16","17+")))</f>
        <v>13-14</v>
      </c>
      <c r="J50" t="str">
        <f t="shared" si="2"/>
        <v>2-4 hrs</v>
      </c>
    </row>
    <row r="51" spans="1:10">
      <c r="A51" s="6">
        <v>50</v>
      </c>
      <c r="B51" s="2">
        <v>16</v>
      </c>
      <c r="C51" s="7">
        <v>5.6</v>
      </c>
      <c r="D51" s="7">
        <v>4.3</v>
      </c>
      <c r="E51" s="7">
        <v>76.099999999999994</v>
      </c>
      <c r="F51" s="7">
        <v>0.6</v>
      </c>
      <c r="G51" s="8" t="str">
        <f t="shared" si="0"/>
        <v>&gt;4</v>
      </c>
      <c r="H51" s="6" t="str">
        <f t="shared" si="1"/>
        <v>5-6 hrs</v>
      </c>
      <c r="I51" s="8" t="str">
        <f>IF(B51&lt;=12,"&lt;=12", IF(B51&lt;=14,"13-14", IF(B51&lt;=16,"15-16","17+")))</f>
        <v>15-16</v>
      </c>
      <c r="J51" t="str">
        <f t="shared" si="2"/>
        <v>4-6 hrs</v>
      </c>
    </row>
    <row r="52" spans="1:10">
      <c r="A52" s="6">
        <v>51</v>
      </c>
      <c r="B52" s="2">
        <v>16</v>
      </c>
      <c r="C52" s="7">
        <v>1.2</v>
      </c>
      <c r="D52" s="7">
        <v>3.3</v>
      </c>
      <c r="E52" s="7">
        <v>87.1</v>
      </c>
      <c r="F52" s="7">
        <v>1.7</v>
      </c>
      <c r="G52" s="8" t="str">
        <f t="shared" si="0"/>
        <v>2-D64</v>
      </c>
      <c r="H52" s="6" t="str">
        <f t="shared" si="1"/>
        <v>0-2 hrs</v>
      </c>
      <c r="I52" s="8" t="str">
        <f>IF(B52&lt;=12,"&lt;=12", IF(B52&lt;=14,"13-14", IF(B52&lt;=16,"15-16","17+")))</f>
        <v>15-16</v>
      </c>
      <c r="J52" t="str">
        <f t="shared" si="2"/>
        <v>2-4 hrs</v>
      </c>
    </row>
    <row r="53" spans="1:10">
      <c r="A53" s="6">
        <v>52</v>
      </c>
      <c r="B53" s="2">
        <v>16</v>
      </c>
      <c r="C53" s="7">
        <v>3.2</v>
      </c>
      <c r="D53" s="7">
        <v>3.2</v>
      </c>
      <c r="E53" s="7">
        <v>78.2</v>
      </c>
      <c r="F53" s="7">
        <v>0.1</v>
      </c>
      <c r="G53" s="8" t="str">
        <f t="shared" si="0"/>
        <v>2-D64</v>
      </c>
      <c r="H53" s="6" t="str">
        <f t="shared" si="1"/>
        <v>3-4 hrs</v>
      </c>
      <c r="I53" s="8" t="str">
        <f>IF(B53&lt;=12,"&lt;=12", IF(B53&lt;=14,"13-14", IF(B53&lt;=16,"15-16","17+")))</f>
        <v>15-16</v>
      </c>
      <c r="J53" t="str">
        <f t="shared" si="2"/>
        <v>2-4 hrs</v>
      </c>
    </row>
    <row r="54" spans="1:10">
      <c r="A54" s="6">
        <v>53</v>
      </c>
      <c r="B54" s="2">
        <v>16</v>
      </c>
      <c r="C54" s="7">
        <v>2.8</v>
      </c>
      <c r="D54" s="7">
        <v>2.7</v>
      </c>
      <c r="E54" s="7">
        <v>87.7</v>
      </c>
      <c r="F54" s="7">
        <v>1.7</v>
      </c>
      <c r="G54" s="8" t="str">
        <f t="shared" si="0"/>
        <v>2-D64</v>
      </c>
      <c r="H54" s="6" t="str">
        <f t="shared" si="1"/>
        <v>3-4 hrs</v>
      </c>
      <c r="I54" s="8" t="str">
        <f>IF(B54&lt;=12,"&lt;=12", IF(B54&lt;=14,"13-14", IF(B54&lt;=16,"15-16","17+")))</f>
        <v>15-16</v>
      </c>
      <c r="J54" t="str">
        <f t="shared" si="2"/>
        <v>2-4 hrs</v>
      </c>
    </row>
    <row r="55" spans="1:10">
      <c r="A55" s="6">
        <v>54</v>
      </c>
      <c r="B55" s="2">
        <v>17</v>
      </c>
      <c r="C55" s="7">
        <v>2.6</v>
      </c>
      <c r="D55" s="7">
        <v>0</v>
      </c>
      <c r="E55" s="7">
        <v>66</v>
      </c>
      <c r="F55" s="7">
        <v>1.3</v>
      </c>
      <c r="G55" s="8" t="str">
        <f t="shared" si="0"/>
        <v>0-2</v>
      </c>
      <c r="H55" s="6" t="str">
        <f t="shared" si="1"/>
        <v>3-4 hrs</v>
      </c>
      <c r="I55" s="8" t="str">
        <f>IF(B55&lt;=12,"&lt;=12", IF(B55&lt;=14,"13-14", IF(B55&lt;=16,"15-16","17+")))</f>
        <v>17+</v>
      </c>
      <c r="J55" t="str">
        <f>IF(D55&lt;=2,"0-2 hrs", IF(D55&lt;=4,"2-4 hrs", IF(D55&lt;=6,"4-6 hrs", IF(D55&lt;=8,"6-8 hrs","8-10 hrs"))))</f>
        <v>0-2 hrs</v>
      </c>
    </row>
    <row r="56" spans="1:10">
      <c r="A56" s="6">
        <v>55</v>
      </c>
      <c r="B56" s="2">
        <v>15</v>
      </c>
      <c r="C56" s="7">
        <v>3.4</v>
      </c>
      <c r="D56" s="7">
        <v>4.5999999999999996</v>
      </c>
      <c r="E56" s="7">
        <v>72.5</v>
      </c>
      <c r="F56" s="7">
        <v>1.8</v>
      </c>
      <c r="G56" s="8" t="str">
        <f t="shared" si="0"/>
        <v>&gt;4</v>
      </c>
      <c r="H56" s="6" t="str">
        <f t="shared" si="1"/>
        <v>3-4 hrs</v>
      </c>
      <c r="I56" s="8" t="str">
        <f>IF(B56&lt;=12,"&lt;=12", IF(B56&lt;=14,"13-14", IF(B56&lt;=16,"15-16","17+")))</f>
        <v>15-16</v>
      </c>
      <c r="J56" t="str">
        <f t="shared" si="2"/>
        <v>4-6 hrs</v>
      </c>
    </row>
    <row r="57" spans="1:10">
      <c r="A57" s="6">
        <v>56</v>
      </c>
      <c r="B57" s="2">
        <v>13</v>
      </c>
      <c r="C57" s="7">
        <v>2.5</v>
      </c>
      <c r="D57" s="7">
        <v>4.3</v>
      </c>
      <c r="E57" s="7">
        <v>78.099999999999994</v>
      </c>
      <c r="F57" s="7">
        <v>0.7</v>
      </c>
      <c r="G57" s="8" t="str">
        <f t="shared" si="0"/>
        <v>&gt;4</v>
      </c>
      <c r="H57" s="6" t="str">
        <f t="shared" si="1"/>
        <v>3-4 hrs</v>
      </c>
      <c r="I57" s="8" t="str">
        <f>IF(B57&lt;=12,"&lt;=12", IF(B57&lt;=14,"13-14", IF(B57&lt;=16,"15-16","17+")))</f>
        <v>13-14</v>
      </c>
      <c r="J57" t="str">
        <f t="shared" si="2"/>
        <v>4-6 hrs</v>
      </c>
    </row>
    <row r="58" spans="1:10">
      <c r="A58" s="6">
        <v>57</v>
      </c>
      <c r="B58" s="2">
        <v>16</v>
      </c>
      <c r="C58" s="7">
        <v>0.6</v>
      </c>
      <c r="D58" s="7">
        <v>2.7</v>
      </c>
      <c r="E58" s="7">
        <v>46.7</v>
      </c>
      <c r="F58" s="7">
        <v>0</v>
      </c>
      <c r="G58" s="8" t="str">
        <f t="shared" si="0"/>
        <v>2-D64</v>
      </c>
      <c r="H58" s="6" t="str">
        <f t="shared" si="1"/>
        <v>0-2 hrs</v>
      </c>
      <c r="I58" s="8" t="str">
        <f>IF(B58&lt;=12,"&lt;=12", IF(B58&lt;=14,"13-14", IF(B58&lt;=16,"15-16","17+")))</f>
        <v>15-16</v>
      </c>
      <c r="J58" t="str">
        <f t="shared" si="2"/>
        <v>2-4 hrs</v>
      </c>
    </row>
    <row r="59" spans="1:10">
      <c r="A59" s="6">
        <v>58</v>
      </c>
      <c r="B59" s="2">
        <v>14</v>
      </c>
      <c r="C59" s="7">
        <v>1.7</v>
      </c>
      <c r="D59" s="7">
        <v>3.6</v>
      </c>
      <c r="E59" s="7">
        <v>0</v>
      </c>
      <c r="F59" s="7">
        <v>1.2</v>
      </c>
      <c r="G59" s="8" t="str">
        <f t="shared" si="0"/>
        <v>2-D64</v>
      </c>
      <c r="H59" s="6" t="str">
        <f t="shared" si="1"/>
        <v>0-2 hrs</v>
      </c>
      <c r="I59" s="8" t="str">
        <f>IF(B59&lt;=12,"&lt;=12", IF(B59&lt;=14,"13-14", IF(B59&lt;=16,"15-16","17+")))</f>
        <v>13-14</v>
      </c>
      <c r="J59" t="str">
        <f t="shared" si="2"/>
        <v>2-4 hrs</v>
      </c>
    </row>
    <row r="60" spans="1:10">
      <c r="A60" s="6">
        <v>59</v>
      </c>
      <c r="B60" s="2">
        <v>16</v>
      </c>
      <c r="C60" s="7">
        <v>3.9</v>
      </c>
      <c r="D60" s="7">
        <v>2.5</v>
      </c>
      <c r="E60" s="7">
        <v>51.4</v>
      </c>
      <c r="F60" s="7">
        <v>0.7</v>
      </c>
      <c r="G60" s="8" t="str">
        <f t="shared" si="0"/>
        <v>2-D64</v>
      </c>
      <c r="H60" s="6" t="str">
        <f t="shared" si="1"/>
        <v>3-4 hrs</v>
      </c>
      <c r="I60" s="8" t="str">
        <f>IF(B60&lt;=12,"&lt;=12", IF(B60&lt;=14,"13-14", IF(B60&lt;=16,"15-16","17+")))</f>
        <v>15-16</v>
      </c>
      <c r="J60" t="str">
        <f t="shared" si="2"/>
        <v>2-4 hrs</v>
      </c>
    </row>
    <row r="61" spans="1:10">
      <c r="A61" s="6">
        <v>60</v>
      </c>
      <c r="B61" s="2">
        <v>14</v>
      </c>
      <c r="C61" s="7">
        <v>3.7</v>
      </c>
      <c r="D61" s="7">
        <v>3.3</v>
      </c>
      <c r="E61" s="7">
        <v>80</v>
      </c>
      <c r="F61" s="7">
        <v>0.1</v>
      </c>
      <c r="G61" s="8" t="str">
        <f t="shared" si="0"/>
        <v>2-D64</v>
      </c>
      <c r="H61" s="6" t="str">
        <f t="shared" si="1"/>
        <v>3-4 hrs</v>
      </c>
      <c r="I61" s="8" t="str">
        <f>IF(B61&lt;=12,"&lt;=12", IF(B61&lt;=14,"13-14", IF(B61&lt;=16,"15-16","17+")))</f>
        <v>13-14</v>
      </c>
      <c r="J61" t="str">
        <f t="shared" si="2"/>
        <v>2-4 hrs</v>
      </c>
    </row>
    <row r="62" spans="1:10">
      <c r="A62" s="6">
        <v>61</v>
      </c>
      <c r="B62" s="2">
        <v>14</v>
      </c>
      <c r="C62" s="7">
        <v>2.1</v>
      </c>
      <c r="D62" s="7">
        <v>2.2000000000000002</v>
      </c>
      <c r="E62" s="7">
        <v>76.900000000000006</v>
      </c>
      <c r="F62" s="7">
        <v>2.1</v>
      </c>
      <c r="G62" s="8" t="str">
        <f t="shared" si="0"/>
        <v>2-D64</v>
      </c>
      <c r="H62" s="6" t="str">
        <f t="shared" si="1"/>
        <v>3-4 hrs</v>
      </c>
      <c r="I62" s="8" t="str">
        <f>IF(B62&lt;=12,"&lt;=12", IF(B62&lt;=14,"13-14", IF(B62&lt;=16,"15-16","17+")))</f>
        <v>13-14</v>
      </c>
      <c r="J62" t="str">
        <f t="shared" si="2"/>
        <v>2-4 hrs</v>
      </c>
    </row>
    <row r="63" spans="1:10">
      <c r="A63" s="6">
        <v>62</v>
      </c>
      <c r="B63" s="2">
        <v>16</v>
      </c>
      <c r="C63" s="7">
        <v>3</v>
      </c>
      <c r="D63" s="7">
        <v>6.4</v>
      </c>
      <c r="E63" s="7">
        <v>46.6</v>
      </c>
      <c r="F63" s="7">
        <v>2.8</v>
      </c>
      <c r="G63" s="8" t="str">
        <f t="shared" si="0"/>
        <v>&gt;4</v>
      </c>
      <c r="H63" s="6" t="str">
        <f t="shared" si="1"/>
        <v>3-4 hrs</v>
      </c>
      <c r="I63" s="8" t="str">
        <f>IF(B63&lt;=12,"&lt;=12", IF(B63&lt;=14,"13-14", IF(B63&lt;=16,"15-16","17+")))</f>
        <v>15-16</v>
      </c>
      <c r="J63" t="str">
        <f t="shared" si="2"/>
        <v>6-8 hrs</v>
      </c>
    </row>
    <row r="64" spans="1:10">
      <c r="A64" s="6">
        <v>63</v>
      </c>
      <c r="B64" s="2">
        <v>17</v>
      </c>
      <c r="C64" s="7">
        <v>5.3</v>
      </c>
      <c r="D64" s="7">
        <v>0</v>
      </c>
      <c r="E64" s="7">
        <v>47.1</v>
      </c>
      <c r="F64" s="7">
        <v>0.9</v>
      </c>
      <c r="G64" s="8" t="str">
        <f t="shared" si="0"/>
        <v>0-2</v>
      </c>
      <c r="H64" s="6" t="str">
        <f t="shared" si="1"/>
        <v>5-6 hrs</v>
      </c>
      <c r="I64" s="8" t="str">
        <f>IF(B64&lt;=12,"&lt;=12", IF(B64&lt;=14,"13-14", IF(B64&lt;=16,"15-16","17+")))</f>
        <v>17+</v>
      </c>
      <c r="J64" t="str">
        <f t="shared" si="2"/>
        <v>0-2 hrs</v>
      </c>
    </row>
    <row r="65" spans="1:10">
      <c r="A65" s="6">
        <v>64</v>
      </c>
      <c r="B65" s="2">
        <v>14</v>
      </c>
      <c r="C65" s="7">
        <v>2.5</v>
      </c>
      <c r="D65" s="7">
        <v>2.7</v>
      </c>
      <c r="E65" s="7">
        <v>0</v>
      </c>
      <c r="F65" s="7">
        <v>1.4</v>
      </c>
      <c r="G65" s="8" t="str">
        <f t="shared" si="0"/>
        <v>2-D64</v>
      </c>
      <c r="H65" s="6" t="str">
        <f t="shared" si="1"/>
        <v>3-4 hrs</v>
      </c>
      <c r="I65" s="8" t="str">
        <f>IF(B65&lt;=12,"&lt;=12", IF(B65&lt;=14,"13-14", IF(B65&lt;=16,"15-16","17+")))</f>
        <v>13-14</v>
      </c>
      <c r="J65" t="str">
        <f t="shared" si="2"/>
        <v>2-4 hrs</v>
      </c>
    </row>
    <row r="66" spans="1:10">
      <c r="A66" s="6">
        <v>65</v>
      </c>
      <c r="B66" s="2">
        <v>14</v>
      </c>
      <c r="C66" s="7">
        <v>2.5</v>
      </c>
      <c r="D66" s="7">
        <v>2</v>
      </c>
      <c r="E66" s="7">
        <v>82.1</v>
      </c>
      <c r="F66" s="7">
        <v>1.3</v>
      </c>
      <c r="G66" s="8" t="str">
        <f t="shared" si="0"/>
        <v>0-2</v>
      </c>
      <c r="H66" s="6" t="str">
        <f t="shared" si="1"/>
        <v>3-4 hrs</v>
      </c>
      <c r="I66" s="8" t="str">
        <f>IF(B66&lt;=12,"&lt;=12", IF(B66&lt;=14,"13-14", IF(B66&lt;=16,"15-16","17+")))</f>
        <v>13-14</v>
      </c>
      <c r="J66" t="str">
        <f t="shared" si="2"/>
        <v>0-2 hrs</v>
      </c>
    </row>
    <row r="67" spans="1:10">
      <c r="A67" s="6">
        <v>66</v>
      </c>
      <c r="B67" s="2">
        <v>16</v>
      </c>
      <c r="C67" s="7">
        <v>2.7</v>
      </c>
      <c r="D67" s="7">
        <v>2.8</v>
      </c>
      <c r="E67" s="7">
        <v>61.2</v>
      </c>
      <c r="F67" s="7">
        <v>1</v>
      </c>
      <c r="G67" s="8" t="str">
        <f t="shared" ref="G67:G130" si="3">IF(D67&lt;=2,"0-2",IF(D67&lt;=4,"2-D64","&gt;4"))</f>
        <v>2-D64</v>
      </c>
      <c r="H67" s="6" t="str">
        <f t="shared" ref="H67:H71" si="4">IF(C67&lt;=2,"0-2 hrs", IF(C67&lt;=4,"3-4 hrs", IF(C67&lt;=6,"5-6 hrs","7+ hrs")))</f>
        <v>3-4 hrs</v>
      </c>
      <c r="I67" s="8" t="str">
        <f>IF(B67&lt;=12,"&lt;=12", IF(B67&lt;=14,"13-14", IF(B67&lt;=16,"15-16","17+")))</f>
        <v>15-16</v>
      </c>
      <c r="J67" t="str">
        <f t="shared" ref="J67:J88" si="5">IF(D67&lt;=2,"0-2 hrs", IF(D67&lt;=4,"2-4 hrs", IF(D67&lt;=6,"4-6 hrs", IF(D67&lt;=8,"6-8 hrs","8-10 hrs"))))</f>
        <v>2-4 hrs</v>
      </c>
    </row>
    <row r="68" spans="1:10">
      <c r="A68" s="6">
        <v>67</v>
      </c>
      <c r="B68" s="2">
        <v>14</v>
      </c>
      <c r="C68" s="7">
        <v>3.1</v>
      </c>
      <c r="D68" s="7">
        <v>3.3</v>
      </c>
      <c r="E68" s="7">
        <v>61.2</v>
      </c>
      <c r="F68" s="7">
        <v>2</v>
      </c>
      <c r="G68" s="8" t="str">
        <f t="shared" si="3"/>
        <v>2-D64</v>
      </c>
      <c r="H68" s="6" t="str">
        <f t="shared" si="4"/>
        <v>3-4 hrs</v>
      </c>
      <c r="I68" s="8" t="str">
        <f>IF(B68&lt;=12,"&lt;=12", IF(B68&lt;=14,"13-14", IF(B68&lt;=16,"15-16","17+")))</f>
        <v>13-14</v>
      </c>
      <c r="J68" t="str">
        <f t="shared" si="5"/>
        <v>2-4 hrs</v>
      </c>
    </row>
    <row r="69" spans="1:10">
      <c r="A69" s="6">
        <v>68</v>
      </c>
      <c r="B69" s="2">
        <v>14</v>
      </c>
      <c r="C69" s="7">
        <v>2.2000000000000002</v>
      </c>
      <c r="D69" s="7">
        <v>3.9</v>
      </c>
      <c r="E69" s="7">
        <v>75.099999999999994</v>
      </c>
      <c r="F69" s="7">
        <v>2.2999999999999998</v>
      </c>
      <c r="G69" s="8" t="str">
        <f t="shared" si="3"/>
        <v>2-D64</v>
      </c>
      <c r="H69" s="6" t="str">
        <f t="shared" si="4"/>
        <v>3-4 hrs</v>
      </c>
      <c r="I69" s="8" t="str">
        <f>IF(B69&lt;=12,"&lt;=12", IF(B69&lt;=14,"13-14", IF(B69&lt;=16,"15-16","17+")))</f>
        <v>13-14</v>
      </c>
      <c r="J69" t="str">
        <f t="shared" si="5"/>
        <v>2-4 hrs</v>
      </c>
    </row>
    <row r="70" spans="1:10">
      <c r="A70" s="6">
        <v>69</v>
      </c>
      <c r="B70" s="2">
        <v>16</v>
      </c>
      <c r="C70" s="7">
        <v>3.1</v>
      </c>
      <c r="D70" s="7">
        <v>3</v>
      </c>
      <c r="E70" s="7">
        <v>69.900000000000006</v>
      </c>
      <c r="F70" s="7">
        <v>0.8</v>
      </c>
      <c r="G70" s="8" t="str">
        <f t="shared" si="3"/>
        <v>2-D64</v>
      </c>
      <c r="H70" s="6" t="str">
        <f t="shared" si="4"/>
        <v>3-4 hrs</v>
      </c>
      <c r="I70" s="8" t="str">
        <f>IF(B70&lt;=12,"&lt;=12", IF(B70&lt;=14,"13-14", IF(B70&lt;=16,"15-16","17+")))</f>
        <v>15-16</v>
      </c>
      <c r="J70" t="str">
        <f t="shared" si="5"/>
        <v>2-4 hrs</v>
      </c>
    </row>
    <row r="71" spans="1:10">
      <c r="A71" s="6">
        <v>70</v>
      </c>
      <c r="B71" s="2">
        <v>16</v>
      </c>
      <c r="C71" s="7">
        <v>0.6</v>
      </c>
      <c r="D71" s="7">
        <v>1.6</v>
      </c>
      <c r="E71" s="7">
        <v>80.5</v>
      </c>
      <c r="F71" s="7">
        <v>1.5</v>
      </c>
      <c r="G71" s="8" t="str">
        <f t="shared" si="3"/>
        <v>0-2</v>
      </c>
      <c r="H71" s="6" t="str">
        <f t="shared" si="4"/>
        <v>0-2 hrs</v>
      </c>
      <c r="I71" s="8" t="str">
        <f>IF(B71&lt;=12,"&lt;=12", IF(B71&lt;=14,"13-14", IF(B71&lt;=16,"15-16","17+")))</f>
        <v>15-16</v>
      </c>
      <c r="J71" t="str">
        <f t="shared" si="5"/>
        <v>0-2 hrs</v>
      </c>
    </row>
    <row r="72" spans="1:10">
      <c r="A72" s="6">
        <v>71</v>
      </c>
      <c r="B72" s="2">
        <v>13</v>
      </c>
      <c r="C72" s="7">
        <v>2.8</v>
      </c>
      <c r="D72" s="7">
        <v>1.7</v>
      </c>
      <c r="E72" s="7">
        <v>74.8</v>
      </c>
      <c r="F72" s="7">
        <v>2.5</v>
      </c>
      <c r="G72" s="8" t="str">
        <f t="shared" si="3"/>
        <v>0-2</v>
      </c>
      <c r="H72" s="6" t="str">
        <f>IF(C72&lt;=2,"0-2 hrs", IF(C72&lt;=4,"3-4 hrs", IF(C72&lt;=6,"5-6 hrs","7+ hrs")))</f>
        <v>3-4 hrs</v>
      </c>
      <c r="I72" s="8" t="str">
        <f>IF(B72&lt;=12,"&lt;=12", IF(B72&lt;=14,"13-14", IF(B72&lt;=16,"15-16","17+")))</f>
        <v>13-14</v>
      </c>
      <c r="J72" t="str">
        <f t="shared" si="5"/>
        <v>0-2 hrs</v>
      </c>
    </row>
    <row r="73" spans="1:10">
      <c r="A73" s="6">
        <v>72</v>
      </c>
      <c r="B73" s="2">
        <v>17</v>
      </c>
      <c r="C73" s="7">
        <v>2.6</v>
      </c>
      <c r="D73" s="7">
        <v>5</v>
      </c>
      <c r="E73" s="7">
        <v>85.8</v>
      </c>
      <c r="F73" s="7">
        <v>2.1</v>
      </c>
      <c r="G73" s="8" t="str">
        <f t="shared" si="3"/>
        <v>&gt;4</v>
      </c>
      <c r="H73" s="6" t="str">
        <f t="shared" ref="H73:H91" si="6">IF(C73&lt;=2,"0-2 hrs", IF(C73&lt;=4,"3-4 hrs", IF(C73&lt;=6,"5-6 hrs","7+ hrs")))</f>
        <v>3-4 hrs</v>
      </c>
      <c r="I73" s="8" t="str">
        <f>IF(B73&lt;=12,"&lt;=12", IF(B73&lt;=14,"13-14", IF(B73&lt;=16,"15-16","17+")))</f>
        <v>17+</v>
      </c>
      <c r="J73" t="str">
        <f t="shared" si="5"/>
        <v>4-6 hrs</v>
      </c>
    </row>
    <row r="74" spans="1:10">
      <c r="A74" s="6">
        <v>73</v>
      </c>
      <c r="B74" s="2">
        <v>17</v>
      </c>
      <c r="C74" s="7">
        <v>2.2999999999999998</v>
      </c>
      <c r="D74" s="7">
        <v>3.8</v>
      </c>
      <c r="E74" s="7">
        <v>79.7</v>
      </c>
      <c r="F74" s="7">
        <v>2.2000000000000002</v>
      </c>
      <c r="G74" s="8" t="str">
        <f t="shared" si="3"/>
        <v>2-D64</v>
      </c>
      <c r="H74" s="6" t="str">
        <f t="shared" si="6"/>
        <v>3-4 hrs</v>
      </c>
      <c r="I74" s="8" t="str">
        <f>IF(B74&lt;=12,"&lt;=12", IF(B74&lt;=14,"13-14", IF(B74&lt;=16,"15-16","17+")))</f>
        <v>17+</v>
      </c>
      <c r="J74" t="str">
        <f t="shared" si="5"/>
        <v>2-4 hrs</v>
      </c>
    </row>
    <row r="75" spans="1:10">
      <c r="A75" s="6">
        <v>74</v>
      </c>
      <c r="B75" s="2">
        <v>14</v>
      </c>
      <c r="C75" s="7">
        <v>2</v>
      </c>
      <c r="D75" s="7">
        <v>5</v>
      </c>
      <c r="E75" s="7">
        <v>77.2</v>
      </c>
      <c r="F75" s="7">
        <v>2.6</v>
      </c>
      <c r="G75" s="8" t="str">
        <f t="shared" si="3"/>
        <v>&gt;4</v>
      </c>
      <c r="H75" s="6" t="str">
        <f t="shared" si="6"/>
        <v>0-2 hrs</v>
      </c>
      <c r="I75" s="8" t="str">
        <f>IF(B75&lt;=12,"&lt;=12", IF(B75&lt;=14,"13-14", IF(B75&lt;=16,"15-16","17+")))</f>
        <v>13-14</v>
      </c>
      <c r="J75" t="str">
        <f t="shared" si="5"/>
        <v>4-6 hrs</v>
      </c>
    </row>
    <row r="76" spans="1:10">
      <c r="A76" s="6">
        <v>75</v>
      </c>
      <c r="B76" s="2">
        <v>17</v>
      </c>
      <c r="C76" s="7">
        <v>1.9</v>
      </c>
      <c r="D76" s="7">
        <v>5.2</v>
      </c>
      <c r="E76" s="7">
        <v>66.5</v>
      </c>
      <c r="F76" s="7">
        <v>2.6</v>
      </c>
      <c r="G76" s="8" t="str">
        <f t="shared" si="3"/>
        <v>&gt;4</v>
      </c>
      <c r="H76" s="6" t="str">
        <f t="shared" si="6"/>
        <v>0-2 hrs</v>
      </c>
      <c r="I76" s="8" t="str">
        <f>IF(B76&lt;=12,"&lt;=12", IF(B76&lt;=14,"13-14", IF(B76&lt;=16,"15-16","17+")))</f>
        <v>17+</v>
      </c>
      <c r="J76" t="str">
        <f t="shared" si="5"/>
        <v>4-6 hrs</v>
      </c>
    </row>
    <row r="77" spans="1:10">
      <c r="A77" s="6">
        <v>76</v>
      </c>
      <c r="B77" s="2">
        <v>14</v>
      </c>
      <c r="C77" s="7">
        <v>1.7</v>
      </c>
      <c r="D77" s="7">
        <v>4.2</v>
      </c>
      <c r="E77" s="7">
        <v>65.7</v>
      </c>
      <c r="F77" s="7">
        <v>2.2999999999999998</v>
      </c>
      <c r="G77" s="8" t="str">
        <f t="shared" si="3"/>
        <v>&gt;4</v>
      </c>
      <c r="H77" s="6" t="str">
        <f t="shared" si="6"/>
        <v>0-2 hrs</v>
      </c>
      <c r="I77" s="8" t="str">
        <f>IF(B77&lt;=12,"&lt;=12", IF(B77&lt;=14,"13-14", IF(B77&lt;=16,"15-16","17+")))</f>
        <v>13-14</v>
      </c>
      <c r="J77" t="str">
        <f t="shared" si="5"/>
        <v>4-6 hrs</v>
      </c>
    </row>
    <row r="78" spans="1:10">
      <c r="A78" s="6">
        <v>77</v>
      </c>
      <c r="B78" s="2">
        <v>13</v>
      </c>
      <c r="C78" s="7">
        <v>0.2</v>
      </c>
      <c r="D78" s="7">
        <v>2.2000000000000002</v>
      </c>
      <c r="E78" s="7">
        <v>69.5</v>
      </c>
      <c r="F78" s="7">
        <v>1.6</v>
      </c>
      <c r="G78" s="8" t="str">
        <f t="shared" si="3"/>
        <v>2-D64</v>
      </c>
      <c r="H78" s="6" t="str">
        <f t="shared" si="6"/>
        <v>0-2 hrs</v>
      </c>
      <c r="I78" s="8" t="str">
        <f>IF(B78&lt;=12,"&lt;=12", IF(B78&lt;=14,"13-14", IF(B78&lt;=16,"15-16","17+")))</f>
        <v>13-14</v>
      </c>
      <c r="J78" t="str">
        <f t="shared" si="5"/>
        <v>2-4 hrs</v>
      </c>
    </row>
    <row r="79" spans="1:10">
      <c r="A79" s="6">
        <v>78</v>
      </c>
      <c r="B79" s="2">
        <v>16</v>
      </c>
      <c r="C79" s="7">
        <v>2.2000000000000002</v>
      </c>
      <c r="D79" s="7">
        <v>4.3</v>
      </c>
      <c r="E79" s="7">
        <v>88.4</v>
      </c>
      <c r="F79" s="7">
        <v>1.2</v>
      </c>
      <c r="G79" s="8" t="str">
        <f t="shared" si="3"/>
        <v>&gt;4</v>
      </c>
      <c r="H79" s="6" t="str">
        <f t="shared" si="6"/>
        <v>3-4 hrs</v>
      </c>
      <c r="I79" s="8" t="str">
        <f>IF(B79&lt;=12,"&lt;=12", IF(B79&lt;=14,"13-14", IF(B79&lt;=16,"15-16","17+")))</f>
        <v>15-16</v>
      </c>
      <c r="J79" t="str">
        <f t="shared" si="5"/>
        <v>4-6 hrs</v>
      </c>
    </row>
    <row r="80" spans="1:10">
      <c r="A80" s="6">
        <v>79</v>
      </c>
      <c r="B80" s="2">
        <v>16</v>
      </c>
      <c r="C80" s="7">
        <v>3.6</v>
      </c>
      <c r="D80" s="7">
        <v>6.1</v>
      </c>
      <c r="E80" s="7">
        <v>65.900000000000006</v>
      </c>
      <c r="F80" s="7">
        <v>1.6</v>
      </c>
      <c r="G80" s="8" t="str">
        <f t="shared" si="3"/>
        <v>&gt;4</v>
      </c>
      <c r="H80" s="6" t="str">
        <f t="shared" si="6"/>
        <v>3-4 hrs</v>
      </c>
      <c r="I80" s="8" t="str">
        <f>IF(B80&lt;=12,"&lt;=12", IF(B80&lt;=14,"13-14", IF(B80&lt;=16,"15-16","17+")))</f>
        <v>15-16</v>
      </c>
      <c r="J80" t="str">
        <f t="shared" si="5"/>
        <v>6-8 hrs</v>
      </c>
    </row>
    <row r="81" spans="1:10">
      <c r="A81" s="6">
        <v>80</v>
      </c>
      <c r="B81" s="2">
        <v>16</v>
      </c>
      <c r="C81" s="7">
        <v>2.2000000000000002</v>
      </c>
      <c r="D81" s="7">
        <v>3.3</v>
      </c>
      <c r="E81" s="7">
        <v>72.599999999999994</v>
      </c>
      <c r="F81" s="7">
        <v>1.1000000000000001</v>
      </c>
      <c r="G81" s="8" t="str">
        <f t="shared" si="3"/>
        <v>2-D64</v>
      </c>
      <c r="H81" s="6" t="str">
        <f t="shared" si="6"/>
        <v>3-4 hrs</v>
      </c>
      <c r="I81" s="8" t="str">
        <f>IF(B81&lt;=12,"&lt;=12", IF(B81&lt;=14,"13-14", IF(B81&lt;=16,"15-16","17+")))</f>
        <v>15-16</v>
      </c>
      <c r="J81" t="str">
        <f t="shared" si="5"/>
        <v>2-4 hrs</v>
      </c>
    </row>
    <row r="82" spans="1:10">
      <c r="A82" s="6">
        <v>81</v>
      </c>
      <c r="B82" s="2">
        <v>17</v>
      </c>
      <c r="C82" s="7">
        <v>3.1</v>
      </c>
      <c r="D82" s="7">
        <v>4.5</v>
      </c>
      <c r="E82" s="7">
        <v>47.6</v>
      </c>
      <c r="F82" s="7">
        <v>0</v>
      </c>
      <c r="G82" s="8" t="str">
        <f t="shared" si="3"/>
        <v>&gt;4</v>
      </c>
      <c r="H82" s="6" t="str">
        <f t="shared" si="6"/>
        <v>3-4 hrs</v>
      </c>
      <c r="I82" s="8" t="str">
        <f>IF(B82&lt;=12,"&lt;=12", IF(B82&lt;=14,"13-14", IF(B82&lt;=16,"15-16","17+")))</f>
        <v>17+</v>
      </c>
      <c r="J82" t="str">
        <f t="shared" si="5"/>
        <v>4-6 hrs</v>
      </c>
    </row>
    <row r="83" spans="1:10">
      <c r="A83" s="6">
        <v>82</v>
      </c>
      <c r="B83" s="2">
        <v>13</v>
      </c>
      <c r="C83" s="7">
        <v>1.4</v>
      </c>
      <c r="D83" s="7">
        <v>4</v>
      </c>
      <c r="E83" s="7">
        <v>76.8</v>
      </c>
      <c r="F83" s="7">
        <v>1.3</v>
      </c>
      <c r="G83" s="8" t="str">
        <f t="shared" si="3"/>
        <v>2-D64</v>
      </c>
      <c r="H83" s="6" t="str">
        <f t="shared" si="6"/>
        <v>0-2 hrs</v>
      </c>
      <c r="I83" s="8" t="str">
        <f>IF(B83&lt;=12,"&lt;=12", IF(B83&lt;=14,"13-14", IF(B83&lt;=16,"15-16","17+")))</f>
        <v>13-14</v>
      </c>
      <c r="J83" t="str">
        <f t="shared" si="5"/>
        <v>2-4 hrs</v>
      </c>
    </row>
    <row r="84" spans="1:10">
      <c r="A84" s="6">
        <v>83</v>
      </c>
      <c r="B84" s="2">
        <v>17</v>
      </c>
      <c r="C84" s="7">
        <v>1.2</v>
      </c>
      <c r="D84" s="7">
        <v>6.1</v>
      </c>
      <c r="E84" s="7">
        <v>92.6</v>
      </c>
      <c r="F84" s="7">
        <v>1.8</v>
      </c>
      <c r="G84" s="8" t="str">
        <f t="shared" si="3"/>
        <v>&gt;4</v>
      </c>
      <c r="H84" s="6" t="str">
        <f t="shared" si="6"/>
        <v>0-2 hrs</v>
      </c>
      <c r="I84" s="8" t="str">
        <f>IF(B84&lt;=12,"&lt;=12", IF(B84&lt;=14,"13-14", IF(B84&lt;=16,"15-16","17+")))</f>
        <v>17+</v>
      </c>
      <c r="J84" t="str">
        <f t="shared" si="5"/>
        <v>6-8 hrs</v>
      </c>
    </row>
    <row r="85" spans="1:10">
      <c r="A85" s="6">
        <v>84</v>
      </c>
      <c r="B85" s="2">
        <v>17</v>
      </c>
      <c r="C85" s="7">
        <v>1.7</v>
      </c>
      <c r="D85" s="7">
        <v>3</v>
      </c>
      <c r="E85" s="7">
        <v>60.7</v>
      </c>
      <c r="F85" s="7">
        <v>1</v>
      </c>
      <c r="G85" s="8" t="str">
        <f t="shared" si="3"/>
        <v>2-D64</v>
      </c>
      <c r="H85" s="6" t="str">
        <f t="shared" si="6"/>
        <v>0-2 hrs</v>
      </c>
      <c r="I85" s="8" t="str">
        <f>IF(B85&lt;=12,"&lt;=12", IF(B85&lt;=14,"13-14", IF(B85&lt;=16,"15-16","17+")))</f>
        <v>17+</v>
      </c>
      <c r="J85" t="str">
        <f t="shared" si="5"/>
        <v>2-4 hrs</v>
      </c>
    </row>
    <row r="86" spans="1:10">
      <c r="A86" s="6">
        <v>85</v>
      </c>
      <c r="B86" s="2">
        <v>13</v>
      </c>
      <c r="C86" s="7">
        <v>1.5</v>
      </c>
      <c r="D86" s="7">
        <v>5.7</v>
      </c>
      <c r="E86" s="7">
        <v>100</v>
      </c>
      <c r="F86" s="7">
        <v>1.3</v>
      </c>
      <c r="G86" s="8" t="str">
        <f t="shared" si="3"/>
        <v>&gt;4</v>
      </c>
      <c r="H86" s="6" t="str">
        <f t="shared" si="6"/>
        <v>0-2 hrs</v>
      </c>
      <c r="I86" s="8" t="str">
        <f>IF(B86&lt;=12,"&lt;=12", IF(B86&lt;=14,"13-14", IF(B86&lt;=16,"15-16","17+")))</f>
        <v>13-14</v>
      </c>
      <c r="J86" t="str">
        <f t="shared" si="5"/>
        <v>4-6 hrs</v>
      </c>
    </row>
    <row r="87" spans="1:10">
      <c r="A87" s="6">
        <v>86</v>
      </c>
      <c r="B87" s="2">
        <v>13</v>
      </c>
      <c r="C87" s="7">
        <v>1.3</v>
      </c>
      <c r="D87" s="7">
        <v>3.4</v>
      </c>
      <c r="E87" s="7">
        <v>71.8</v>
      </c>
      <c r="F87" s="7">
        <v>1.4</v>
      </c>
      <c r="G87" s="8" t="str">
        <f t="shared" si="3"/>
        <v>2-D64</v>
      </c>
      <c r="H87" s="6" t="str">
        <f t="shared" si="6"/>
        <v>0-2 hrs</v>
      </c>
      <c r="I87" s="8" t="str">
        <f>IF(B87&lt;=12,"&lt;=12", IF(B87&lt;=14,"13-14", IF(B87&lt;=16,"15-16","17+")))</f>
        <v>13-14</v>
      </c>
      <c r="J87" t="str">
        <f t="shared" si="5"/>
        <v>2-4 hrs</v>
      </c>
    </row>
    <row r="88" spans="1:10">
      <c r="A88" s="6">
        <v>87</v>
      </c>
      <c r="B88" s="2">
        <v>13</v>
      </c>
      <c r="C88" s="7">
        <v>2.9</v>
      </c>
      <c r="D88" s="7">
        <v>3</v>
      </c>
      <c r="E88" s="7">
        <v>44.3</v>
      </c>
      <c r="F88" s="7">
        <v>2.6</v>
      </c>
      <c r="G88" s="8" t="str">
        <f t="shared" si="3"/>
        <v>2-D64</v>
      </c>
      <c r="H88" s="6" t="str">
        <f t="shared" si="6"/>
        <v>3-4 hrs</v>
      </c>
      <c r="I88" s="8" t="str">
        <f>IF(B88&lt;=12,"&lt;=12", IF(B88&lt;=14,"13-14", IF(B88&lt;=16,"15-16","17+")))</f>
        <v>13-14</v>
      </c>
      <c r="J88" t="str">
        <f t="shared" si="5"/>
        <v>2-4 hrs</v>
      </c>
    </row>
    <row r="89" spans="1:10">
      <c r="A89" s="6">
        <v>88</v>
      </c>
      <c r="B89" s="2">
        <v>13</v>
      </c>
      <c r="C89" s="7">
        <v>4.3</v>
      </c>
      <c r="D89" s="7">
        <v>4.2</v>
      </c>
      <c r="E89" s="7">
        <v>66.099999999999994</v>
      </c>
      <c r="F89" s="7">
        <v>1.2</v>
      </c>
      <c r="G89" s="8" t="str">
        <f t="shared" si="3"/>
        <v>&gt;4</v>
      </c>
      <c r="H89" s="6" t="str">
        <f t="shared" si="6"/>
        <v>5-6 hrs</v>
      </c>
      <c r="I89" s="8" t="str">
        <f>IF(B89&lt;=12,"&lt;=12", IF(B89&lt;=14,"13-14", IF(B89&lt;=16,"15-16","17+")))</f>
        <v>13-14</v>
      </c>
      <c r="J89" t="str">
        <f>IF(D89&lt;=2,"0-2 hrs", IF(D89&lt;=4,"2-4 hrs", IF(D89&lt;=6,"4-6 hrs", IF(D89&lt;=8,"6-8 hrs","8-10 hrs"))))</f>
        <v>4-6 hrs</v>
      </c>
    </row>
    <row r="90" spans="1:10">
      <c r="A90" s="6">
        <v>89</v>
      </c>
      <c r="B90" s="2">
        <v>16</v>
      </c>
      <c r="C90" s="7">
        <v>1.8</v>
      </c>
      <c r="D90" s="7">
        <v>4.5</v>
      </c>
      <c r="E90" s="7">
        <v>83.3</v>
      </c>
      <c r="F90" s="7">
        <v>2.6</v>
      </c>
      <c r="G90" s="8" t="str">
        <f t="shared" si="3"/>
        <v>&gt;4</v>
      </c>
      <c r="H90" s="6" t="str">
        <f t="shared" si="6"/>
        <v>0-2 hrs</v>
      </c>
      <c r="I90" s="8" t="str">
        <f>IF(B90&lt;=12,"&lt;=12", IF(B90&lt;=14,"13-14", IF(B90&lt;=16,"15-16","17+")))</f>
        <v>15-16</v>
      </c>
      <c r="J90" t="str">
        <f t="shared" ref="J90:J103" si="7">IF(D90&lt;=2,"0-2 hrs", IF(D90&lt;=4,"2-4 hrs", IF(D90&lt;=6,"4-6 hrs", IF(D90&lt;=8,"6-8 hrs","8-10 hrs"))))</f>
        <v>4-6 hrs</v>
      </c>
    </row>
    <row r="91" spans="1:10">
      <c r="A91" s="6">
        <v>90</v>
      </c>
      <c r="B91" s="2">
        <v>15</v>
      </c>
      <c r="C91" s="7">
        <v>0</v>
      </c>
      <c r="D91" s="7">
        <v>6.9</v>
      </c>
      <c r="E91" s="7">
        <v>90</v>
      </c>
      <c r="F91" s="7">
        <v>0</v>
      </c>
      <c r="G91" s="8" t="str">
        <f t="shared" si="3"/>
        <v>&gt;4</v>
      </c>
      <c r="H91" s="6" t="str">
        <f t="shared" si="6"/>
        <v>0-2 hrs</v>
      </c>
      <c r="I91" s="8" t="str">
        <f>IF(B91&lt;=12,"&lt;=12", IF(B91&lt;=14,"13-14", IF(B91&lt;=16,"15-16","17+")))</f>
        <v>15-16</v>
      </c>
      <c r="J91" t="str">
        <f t="shared" si="7"/>
        <v>6-8 hrs</v>
      </c>
    </row>
    <row r="92" spans="1:10">
      <c r="A92" s="6">
        <v>91</v>
      </c>
      <c r="B92" s="2">
        <v>15</v>
      </c>
      <c r="C92" s="7">
        <v>3.2</v>
      </c>
      <c r="D92" s="7">
        <v>4.5</v>
      </c>
      <c r="E92" s="7">
        <v>77.2</v>
      </c>
      <c r="F92" s="7">
        <v>2.6</v>
      </c>
      <c r="G92" s="8" t="str">
        <f t="shared" si="3"/>
        <v>&gt;4</v>
      </c>
      <c r="H92" s="6" t="str">
        <f>IF(C92&lt;=2,"0-2 hrs", IF(C92&lt;=4,"3-4 hrs", IF(C92&lt;=6,"5-6 hrs","7+ hrs")))</f>
        <v>3-4 hrs</v>
      </c>
      <c r="I92" s="8" t="str">
        <f>IF(B92&lt;=12,"&lt;=12", IF(B92&lt;=14,"13-14", IF(B92&lt;=16,"15-16","17+")))</f>
        <v>15-16</v>
      </c>
      <c r="J92" t="str">
        <f t="shared" si="7"/>
        <v>4-6 hrs</v>
      </c>
    </row>
    <row r="93" spans="1:10">
      <c r="A93" s="6">
        <v>92</v>
      </c>
      <c r="B93" s="2">
        <v>13</v>
      </c>
      <c r="C93" s="7">
        <v>1.1000000000000001</v>
      </c>
      <c r="D93" s="7">
        <v>4.3</v>
      </c>
      <c r="E93" s="7">
        <v>85.7</v>
      </c>
      <c r="F93" s="7">
        <v>2.5</v>
      </c>
      <c r="G93" s="8" t="str">
        <f t="shared" si="3"/>
        <v>&gt;4</v>
      </c>
      <c r="H93" s="6" t="str">
        <f t="shared" ref="H93:H111" si="8">IF(C93&lt;=2,"0-2 hrs", IF(C93&lt;=4,"3-4 hrs", IF(C93&lt;=6,"5-6 hrs","7+ hrs")))</f>
        <v>0-2 hrs</v>
      </c>
      <c r="I93" s="8" t="str">
        <f>IF(B93&lt;=12,"&lt;=12", IF(B93&lt;=14,"13-14", IF(B93&lt;=16,"15-16","17+")))</f>
        <v>13-14</v>
      </c>
      <c r="J93" t="str">
        <f t="shared" si="7"/>
        <v>4-6 hrs</v>
      </c>
    </row>
    <row r="94" spans="1:10">
      <c r="A94" s="6">
        <v>93</v>
      </c>
      <c r="B94" s="2">
        <v>15</v>
      </c>
      <c r="C94" s="7">
        <v>1.3</v>
      </c>
      <c r="D94" s="7">
        <v>6.4</v>
      </c>
      <c r="E94" s="7">
        <v>58.2</v>
      </c>
      <c r="F94" s="7">
        <v>2.2000000000000002</v>
      </c>
      <c r="G94" s="8" t="str">
        <f t="shared" si="3"/>
        <v>&gt;4</v>
      </c>
      <c r="H94" s="6" t="str">
        <f t="shared" si="8"/>
        <v>0-2 hrs</v>
      </c>
      <c r="I94" s="8" t="str">
        <f>IF(B94&lt;=12,"&lt;=12", IF(B94&lt;=14,"13-14", IF(B94&lt;=16,"15-16","17+")))</f>
        <v>15-16</v>
      </c>
      <c r="J94" t="str">
        <f t="shared" si="7"/>
        <v>6-8 hrs</v>
      </c>
    </row>
    <row r="95" spans="1:10">
      <c r="A95" s="6">
        <v>94</v>
      </c>
      <c r="B95" s="2">
        <v>15</v>
      </c>
      <c r="C95" s="7">
        <v>3</v>
      </c>
      <c r="D95" s="7">
        <v>4.9000000000000004</v>
      </c>
      <c r="E95" s="7">
        <v>63.2</v>
      </c>
      <c r="F95" s="7">
        <v>0</v>
      </c>
      <c r="G95" s="8" t="str">
        <f t="shared" si="3"/>
        <v>&gt;4</v>
      </c>
      <c r="H95" s="6" t="str">
        <f t="shared" si="8"/>
        <v>3-4 hrs</v>
      </c>
      <c r="I95" s="8" t="str">
        <f>IF(B95&lt;=12,"&lt;=12", IF(B95&lt;=14,"13-14", IF(B95&lt;=16,"15-16","17+")))</f>
        <v>15-16</v>
      </c>
      <c r="J95" t="str">
        <f t="shared" si="7"/>
        <v>4-6 hrs</v>
      </c>
    </row>
    <row r="96" spans="1:10">
      <c r="A96" s="6">
        <v>95</v>
      </c>
      <c r="B96" s="2">
        <v>13</v>
      </c>
      <c r="C96" s="7">
        <v>2.2999999999999998</v>
      </c>
      <c r="D96" s="7">
        <v>3</v>
      </c>
      <c r="E96" s="7">
        <v>53.2</v>
      </c>
      <c r="F96" s="7">
        <v>2.2999999999999998</v>
      </c>
      <c r="G96" s="8" t="str">
        <f t="shared" si="3"/>
        <v>2-D64</v>
      </c>
      <c r="H96" s="6" t="str">
        <f t="shared" si="8"/>
        <v>3-4 hrs</v>
      </c>
      <c r="I96" s="8" t="str">
        <f>IF(B96&lt;=12,"&lt;=12", IF(B96&lt;=14,"13-14", IF(B96&lt;=16,"15-16","17+")))</f>
        <v>13-14</v>
      </c>
      <c r="J96" t="str">
        <f t="shared" si="7"/>
        <v>2-4 hrs</v>
      </c>
    </row>
    <row r="97" spans="1:10">
      <c r="A97" s="6">
        <v>96</v>
      </c>
      <c r="B97" s="2">
        <v>15</v>
      </c>
      <c r="C97" s="7">
        <v>1.8</v>
      </c>
      <c r="D97" s="7">
        <v>6</v>
      </c>
      <c r="E97" s="7">
        <v>63.9</v>
      </c>
      <c r="F97" s="7">
        <v>1.5</v>
      </c>
      <c r="G97" s="8" t="str">
        <f t="shared" si="3"/>
        <v>&gt;4</v>
      </c>
      <c r="H97" s="6" t="str">
        <f t="shared" si="8"/>
        <v>0-2 hrs</v>
      </c>
      <c r="I97" s="8" t="str">
        <f>IF(B97&lt;=12,"&lt;=12", IF(B97&lt;=14,"13-14", IF(B97&lt;=16,"15-16","17+")))</f>
        <v>15-16</v>
      </c>
      <c r="J97" t="str">
        <f t="shared" si="7"/>
        <v>4-6 hrs</v>
      </c>
    </row>
    <row r="98" spans="1:10">
      <c r="A98" s="6">
        <v>97</v>
      </c>
      <c r="B98" s="2">
        <v>17</v>
      </c>
      <c r="C98" s="7">
        <v>2.6</v>
      </c>
      <c r="D98" s="7">
        <v>2.9</v>
      </c>
      <c r="E98" s="7">
        <v>77.599999999999994</v>
      </c>
      <c r="F98" s="7">
        <v>0</v>
      </c>
      <c r="G98" s="8" t="str">
        <f t="shared" si="3"/>
        <v>2-D64</v>
      </c>
      <c r="H98" s="6" t="str">
        <f t="shared" si="8"/>
        <v>3-4 hrs</v>
      </c>
      <c r="I98" s="8" t="str">
        <f>IF(B98&lt;=12,"&lt;=12", IF(B98&lt;=14,"13-14", IF(B98&lt;=16,"15-16","17+")))</f>
        <v>17+</v>
      </c>
      <c r="J98" t="str">
        <f t="shared" si="7"/>
        <v>2-4 hrs</v>
      </c>
    </row>
    <row r="99" spans="1:10">
      <c r="A99" s="6">
        <v>98</v>
      </c>
      <c r="B99" s="2">
        <v>14</v>
      </c>
      <c r="C99" s="7">
        <v>2.1</v>
      </c>
      <c r="D99" s="7">
        <v>3</v>
      </c>
      <c r="E99" s="7">
        <v>72.099999999999994</v>
      </c>
      <c r="F99" s="7">
        <v>2.5</v>
      </c>
      <c r="G99" s="8" t="str">
        <f t="shared" si="3"/>
        <v>2-D64</v>
      </c>
      <c r="H99" s="6" t="str">
        <f t="shared" si="8"/>
        <v>3-4 hrs</v>
      </c>
      <c r="I99" s="8" t="str">
        <f>IF(B99&lt;=12,"&lt;=12", IF(B99&lt;=14,"13-14", IF(B99&lt;=16,"15-16","17+")))</f>
        <v>13-14</v>
      </c>
      <c r="J99" t="str">
        <f t="shared" si="7"/>
        <v>2-4 hrs</v>
      </c>
    </row>
    <row r="100" spans="1:10">
      <c r="A100" s="6">
        <v>99</v>
      </c>
      <c r="B100" s="2">
        <v>14</v>
      </c>
      <c r="C100" s="7">
        <v>4.4000000000000004</v>
      </c>
      <c r="D100" s="7">
        <v>2.7</v>
      </c>
      <c r="E100" s="7">
        <v>78.7</v>
      </c>
      <c r="F100" s="7">
        <v>2.7</v>
      </c>
      <c r="G100" s="8" t="str">
        <f t="shared" si="3"/>
        <v>2-D64</v>
      </c>
      <c r="H100" s="6" t="str">
        <f t="shared" si="8"/>
        <v>5-6 hrs</v>
      </c>
      <c r="I100" s="8" t="str">
        <f>IF(B100&lt;=12,"&lt;=12", IF(B100&lt;=14,"13-14", IF(B100&lt;=16,"15-16","17+")))</f>
        <v>13-14</v>
      </c>
      <c r="J100" t="str">
        <f t="shared" si="7"/>
        <v>2-4 hrs</v>
      </c>
    </row>
    <row r="101" spans="1:10">
      <c r="A101" s="6">
        <v>100</v>
      </c>
      <c r="B101" s="2">
        <v>13</v>
      </c>
      <c r="C101" s="7">
        <v>1.8</v>
      </c>
      <c r="D101" s="7">
        <v>2.6</v>
      </c>
      <c r="E101" s="7">
        <v>60.6</v>
      </c>
      <c r="F101" s="7">
        <v>0</v>
      </c>
      <c r="G101" s="8" t="str">
        <f t="shared" si="3"/>
        <v>2-D64</v>
      </c>
      <c r="H101" s="6" t="str">
        <f t="shared" si="8"/>
        <v>0-2 hrs</v>
      </c>
      <c r="I101" s="8" t="str">
        <f>IF(B101&lt;=12,"&lt;=12", IF(B101&lt;=14,"13-14", IF(B101&lt;=16,"15-16","17+")))</f>
        <v>13-14</v>
      </c>
      <c r="J101" t="str">
        <f t="shared" si="7"/>
        <v>2-4 hrs</v>
      </c>
    </row>
    <row r="102" spans="1:10">
      <c r="A102" s="6">
        <v>101</v>
      </c>
      <c r="B102" s="2">
        <v>16</v>
      </c>
      <c r="C102" s="7">
        <v>1.6</v>
      </c>
      <c r="D102" s="7">
        <v>4.5</v>
      </c>
      <c r="E102" s="7">
        <v>61.2</v>
      </c>
      <c r="F102" s="7">
        <v>1.6</v>
      </c>
      <c r="G102" s="8" t="str">
        <f t="shared" si="3"/>
        <v>&gt;4</v>
      </c>
      <c r="H102" s="6" t="str">
        <f t="shared" si="8"/>
        <v>0-2 hrs</v>
      </c>
      <c r="I102" s="8" t="str">
        <f>IF(B102&lt;=12,"&lt;=12", IF(B102&lt;=14,"13-14", IF(B102&lt;=16,"15-16","17+")))</f>
        <v>15-16</v>
      </c>
      <c r="J102" t="str">
        <f t="shared" si="7"/>
        <v>4-6 hrs</v>
      </c>
    </row>
    <row r="103" spans="1:10">
      <c r="A103" s="6">
        <v>102</v>
      </c>
      <c r="B103" s="2">
        <v>13</v>
      </c>
      <c r="C103" s="7">
        <v>2</v>
      </c>
      <c r="D103" s="7">
        <v>3.6</v>
      </c>
      <c r="E103" s="7">
        <v>72</v>
      </c>
      <c r="F103" s="7">
        <v>2.6</v>
      </c>
      <c r="G103" s="8" t="str">
        <f t="shared" si="3"/>
        <v>2-D64</v>
      </c>
      <c r="H103" s="6" t="str">
        <f t="shared" si="8"/>
        <v>0-2 hrs</v>
      </c>
      <c r="I103" s="8" t="str">
        <f>IF(B103&lt;=12,"&lt;=12", IF(B103&lt;=14,"13-14", IF(B103&lt;=16,"15-16","17+")))</f>
        <v>13-14</v>
      </c>
      <c r="J103" t="str">
        <f t="shared" si="7"/>
        <v>2-4 hrs</v>
      </c>
    </row>
    <row r="104" spans="1:10">
      <c r="A104" s="6">
        <v>103</v>
      </c>
      <c r="B104" s="2">
        <v>16</v>
      </c>
      <c r="C104" s="7">
        <v>2.1</v>
      </c>
      <c r="D104" s="7">
        <v>0</v>
      </c>
      <c r="E104" s="7">
        <v>64</v>
      </c>
      <c r="F104" s="7">
        <v>2.5</v>
      </c>
      <c r="G104" s="8" t="str">
        <f t="shared" si="3"/>
        <v>0-2</v>
      </c>
      <c r="H104" s="6" t="str">
        <f t="shared" si="8"/>
        <v>3-4 hrs</v>
      </c>
      <c r="I104" s="8" t="str">
        <f>IF(B104&lt;=12,"&lt;=12", IF(B104&lt;=14,"13-14", IF(B104&lt;=16,"15-16","17+")))</f>
        <v>15-16</v>
      </c>
      <c r="J104" t="str">
        <f>IF(D104&lt;=2,"0-2 hrs", IF(D104&lt;=4,"2-4 hrs", IF(D104&lt;=6,"4-6 hrs", IF(D104&lt;=8,"6-8 hrs","8-10 hrs"))))</f>
        <v>0-2 hrs</v>
      </c>
    </row>
    <row r="105" spans="1:10">
      <c r="A105" s="6">
        <v>104</v>
      </c>
      <c r="B105" s="2">
        <v>14</v>
      </c>
      <c r="C105" s="7">
        <v>0</v>
      </c>
      <c r="D105" s="7">
        <v>3.6</v>
      </c>
      <c r="E105" s="7">
        <v>83</v>
      </c>
      <c r="F105" s="7">
        <v>2.2000000000000002</v>
      </c>
      <c r="G105" s="8" t="str">
        <f t="shared" si="3"/>
        <v>2-D64</v>
      </c>
      <c r="H105" s="6" t="str">
        <f t="shared" si="8"/>
        <v>0-2 hrs</v>
      </c>
      <c r="I105" s="8" t="str">
        <f>IF(B105&lt;=12,"&lt;=12", IF(B105&lt;=14,"13-14", IF(B105&lt;=16,"15-16","17+")))</f>
        <v>13-14</v>
      </c>
      <c r="J105" t="str">
        <f t="shared" ref="J105:J117" si="9">IF(D105&lt;=2,"0-2 hrs", IF(D105&lt;=4,"2-4 hrs", IF(D105&lt;=6,"4-6 hrs", IF(D105&lt;=8,"6-8 hrs","8-10 hrs"))))</f>
        <v>2-4 hrs</v>
      </c>
    </row>
    <row r="106" spans="1:10">
      <c r="A106" s="6">
        <v>105</v>
      </c>
      <c r="B106" s="2">
        <v>13</v>
      </c>
      <c r="C106" s="7">
        <v>0.5</v>
      </c>
      <c r="D106" s="7">
        <v>3.2</v>
      </c>
      <c r="E106" s="7">
        <v>63.7</v>
      </c>
      <c r="F106" s="7">
        <v>0</v>
      </c>
      <c r="G106" s="8" t="str">
        <f t="shared" si="3"/>
        <v>2-D64</v>
      </c>
      <c r="H106" s="6" t="str">
        <f t="shared" si="8"/>
        <v>0-2 hrs</v>
      </c>
      <c r="I106" s="8" t="str">
        <f>IF(B106&lt;=12,"&lt;=12", IF(B106&lt;=14,"13-14", IF(B106&lt;=16,"15-16","17+")))</f>
        <v>13-14</v>
      </c>
      <c r="J106" t="str">
        <f t="shared" si="9"/>
        <v>2-4 hrs</v>
      </c>
    </row>
    <row r="107" spans="1:10">
      <c r="A107" s="6">
        <v>106</v>
      </c>
      <c r="B107" s="2">
        <v>17</v>
      </c>
      <c r="C107" s="7">
        <v>2.9</v>
      </c>
      <c r="D107" s="7">
        <v>5.3</v>
      </c>
      <c r="E107" s="7">
        <v>65</v>
      </c>
      <c r="F107" s="7">
        <v>2.1</v>
      </c>
      <c r="G107" s="8" t="str">
        <f t="shared" si="3"/>
        <v>&gt;4</v>
      </c>
      <c r="H107" s="6" t="str">
        <f t="shared" si="8"/>
        <v>3-4 hrs</v>
      </c>
      <c r="I107" s="8" t="str">
        <f>IF(B107&lt;=12,"&lt;=12", IF(B107&lt;=14,"13-14", IF(B107&lt;=16,"15-16","17+")))</f>
        <v>17+</v>
      </c>
      <c r="J107" t="str">
        <f t="shared" si="9"/>
        <v>4-6 hrs</v>
      </c>
    </row>
    <row r="108" spans="1:10">
      <c r="A108" s="6">
        <v>107</v>
      </c>
      <c r="B108" s="2">
        <v>15</v>
      </c>
      <c r="C108" s="7">
        <v>2</v>
      </c>
      <c r="D108" s="7">
        <v>3.2</v>
      </c>
      <c r="E108" s="7">
        <v>74.2</v>
      </c>
      <c r="F108" s="7">
        <v>1.3</v>
      </c>
      <c r="G108" s="8" t="str">
        <f t="shared" si="3"/>
        <v>2-D64</v>
      </c>
      <c r="H108" s="6" t="str">
        <f t="shared" si="8"/>
        <v>0-2 hrs</v>
      </c>
      <c r="I108" s="8" t="str">
        <f>IF(B108&lt;=12,"&lt;=12", IF(B108&lt;=14,"13-14", IF(B108&lt;=16,"15-16","17+")))</f>
        <v>15-16</v>
      </c>
      <c r="J108" t="str">
        <f t="shared" si="9"/>
        <v>2-4 hrs</v>
      </c>
    </row>
    <row r="109" spans="1:10">
      <c r="A109" s="6">
        <v>108</v>
      </c>
      <c r="B109" s="2">
        <v>16</v>
      </c>
      <c r="C109" s="7">
        <v>3.3</v>
      </c>
      <c r="D109" s="7">
        <v>7.8</v>
      </c>
      <c r="E109" s="7">
        <v>66.099999999999994</v>
      </c>
      <c r="F109" s="7">
        <v>2.2999999999999998</v>
      </c>
      <c r="G109" s="8" t="str">
        <f t="shared" si="3"/>
        <v>&gt;4</v>
      </c>
      <c r="H109" s="6" t="str">
        <f t="shared" si="8"/>
        <v>3-4 hrs</v>
      </c>
      <c r="I109" s="8" t="str">
        <f>IF(B109&lt;=12,"&lt;=12", IF(B109&lt;=14,"13-14", IF(B109&lt;=16,"15-16","17+")))</f>
        <v>15-16</v>
      </c>
      <c r="J109" t="str">
        <f t="shared" si="9"/>
        <v>6-8 hrs</v>
      </c>
    </row>
    <row r="110" spans="1:10">
      <c r="A110" s="6">
        <v>109</v>
      </c>
      <c r="B110" s="2">
        <v>15</v>
      </c>
      <c r="C110" s="7">
        <v>2.5</v>
      </c>
      <c r="D110" s="7">
        <v>6.1</v>
      </c>
      <c r="E110" s="7">
        <v>57.7</v>
      </c>
      <c r="F110" s="7">
        <v>1.7</v>
      </c>
      <c r="G110" s="8" t="str">
        <f t="shared" si="3"/>
        <v>&gt;4</v>
      </c>
      <c r="H110" s="6" t="str">
        <f t="shared" si="8"/>
        <v>3-4 hrs</v>
      </c>
      <c r="I110" s="8" t="str">
        <f>IF(B110&lt;=12,"&lt;=12", IF(B110&lt;=14,"13-14", IF(B110&lt;=16,"15-16","17+")))</f>
        <v>15-16</v>
      </c>
      <c r="J110" t="str">
        <f t="shared" si="9"/>
        <v>6-8 hrs</v>
      </c>
    </row>
    <row r="111" spans="1:10">
      <c r="A111" s="6">
        <v>110</v>
      </c>
      <c r="B111" s="2">
        <v>15</v>
      </c>
      <c r="C111" s="7">
        <v>3</v>
      </c>
      <c r="D111" s="7">
        <v>3.4</v>
      </c>
      <c r="E111" s="7">
        <v>59</v>
      </c>
      <c r="F111" s="7">
        <v>1.5</v>
      </c>
      <c r="G111" s="8" t="str">
        <f t="shared" si="3"/>
        <v>2-D64</v>
      </c>
      <c r="H111" s="6" t="str">
        <f t="shared" si="8"/>
        <v>3-4 hrs</v>
      </c>
      <c r="I111" s="8" t="str">
        <f>IF(B111&lt;=12,"&lt;=12", IF(B111&lt;=14,"13-14", IF(B111&lt;=16,"15-16","17+")))</f>
        <v>15-16</v>
      </c>
      <c r="J111" t="str">
        <f t="shared" si="9"/>
        <v>2-4 hrs</v>
      </c>
    </row>
    <row r="112" spans="1:10">
      <c r="A112" s="6">
        <v>111</v>
      </c>
      <c r="B112" s="2">
        <v>13</v>
      </c>
      <c r="C112" s="7">
        <v>2.1</v>
      </c>
      <c r="D112" s="7">
        <v>5.7</v>
      </c>
      <c r="E112" s="7">
        <v>75.400000000000006</v>
      </c>
      <c r="F112" s="7">
        <v>2</v>
      </c>
      <c r="G112" s="8" t="str">
        <f t="shared" si="3"/>
        <v>&gt;4</v>
      </c>
      <c r="H112" s="6" t="str">
        <f>IF(C112&lt;=2,"0-2 hrs", IF(C112&lt;=4,"3-4 hrs", IF(C112&lt;=6,"5-6 hrs","7+ hrs")))</f>
        <v>3-4 hrs</v>
      </c>
      <c r="I112" s="8" t="str">
        <f>IF(B112&lt;=12,"&lt;=12", IF(B112&lt;=14,"13-14", IF(B112&lt;=16,"15-16","17+")))</f>
        <v>13-14</v>
      </c>
      <c r="J112" t="str">
        <f t="shared" si="9"/>
        <v>4-6 hrs</v>
      </c>
    </row>
    <row r="113" spans="1:10">
      <c r="A113" s="6">
        <v>112</v>
      </c>
      <c r="B113" s="2">
        <v>15</v>
      </c>
      <c r="C113" s="7">
        <v>2.9</v>
      </c>
      <c r="D113" s="7">
        <v>0</v>
      </c>
      <c r="E113" s="7">
        <v>56.4</v>
      </c>
      <c r="F113" s="7">
        <v>1.4</v>
      </c>
      <c r="G113" s="8" t="str">
        <f t="shared" si="3"/>
        <v>0-2</v>
      </c>
      <c r="H113" s="6" t="str">
        <f t="shared" ref="H113:H129" si="10">IF(C113&lt;=2,"0-2 hrs", IF(C113&lt;=4,"3-4 hrs", IF(C113&lt;=6,"5-6 hrs","7+ hrs")))</f>
        <v>3-4 hrs</v>
      </c>
      <c r="I113" s="8" t="str">
        <f>IF(B113&lt;=12,"&lt;=12", IF(B113&lt;=14,"13-14", IF(B113&lt;=16,"15-16","17+")))</f>
        <v>15-16</v>
      </c>
      <c r="J113" t="str">
        <f t="shared" si="9"/>
        <v>0-2 hrs</v>
      </c>
    </row>
    <row r="114" spans="1:10">
      <c r="A114" s="6">
        <v>113</v>
      </c>
      <c r="B114" s="2">
        <v>17</v>
      </c>
      <c r="C114" s="7">
        <v>4.2</v>
      </c>
      <c r="D114" s="7">
        <v>4.4000000000000004</v>
      </c>
      <c r="E114" s="7">
        <v>84</v>
      </c>
      <c r="F114" s="7">
        <v>1.5</v>
      </c>
      <c r="G114" s="8" t="str">
        <f t="shared" si="3"/>
        <v>&gt;4</v>
      </c>
      <c r="H114" s="6" t="str">
        <f t="shared" si="10"/>
        <v>5-6 hrs</v>
      </c>
      <c r="I114" s="8" t="str">
        <f>IF(B114&lt;=12,"&lt;=12", IF(B114&lt;=14,"13-14", IF(B114&lt;=16,"15-16","17+")))</f>
        <v>17+</v>
      </c>
      <c r="J114" t="str">
        <f t="shared" si="9"/>
        <v>4-6 hrs</v>
      </c>
    </row>
    <row r="115" spans="1:10">
      <c r="A115" s="6">
        <v>114</v>
      </c>
      <c r="B115" s="2">
        <v>15</v>
      </c>
      <c r="C115" s="7">
        <v>1.8</v>
      </c>
      <c r="D115" s="7">
        <v>5.2</v>
      </c>
      <c r="E115" s="7">
        <v>63.1</v>
      </c>
      <c r="F115" s="7">
        <v>1.1000000000000001</v>
      </c>
      <c r="G115" s="8" t="str">
        <f t="shared" si="3"/>
        <v>&gt;4</v>
      </c>
      <c r="H115" s="6" t="str">
        <f t="shared" si="10"/>
        <v>0-2 hrs</v>
      </c>
      <c r="I115" s="8" t="str">
        <f>IF(B115&lt;=12,"&lt;=12", IF(B115&lt;=14,"13-14", IF(B115&lt;=16,"15-16","17+")))</f>
        <v>15-16</v>
      </c>
      <c r="J115" t="str">
        <f t="shared" si="9"/>
        <v>4-6 hrs</v>
      </c>
    </row>
    <row r="116" spans="1:10">
      <c r="A116" s="6">
        <v>115</v>
      </c>
      <c r="B116" s="2">
        <v>13</v>
      </c>
      <c r="C116" s="7">
        <v>2.4</v>
      </c>
      <c r="D116" s="7">
        <v>4.0999999999999996</v>
      </c>
      <c r="E116" s="7">
        <v>76.2</v>
      </c>
      <c r="F116" s="7">
        <v>0.2</v>
      </c>
      <c r="G116" s="8" t="str">
        <f t="shared" si="3"/>
        <v>&gt;4</v>
      </c>
      <c r="H116" s="6" t="str">
        <f t="shared" si="10"/>
        <v>3-4 hrs</v>
      </c>
      <c r="I116" s="8" t="str">
        <f>IF(B116&lt;=12,"&lt;=12", IF(B116&lt;=14,"13-14", IF(B116&lt;=16,"15-16","17+")))</f>
        <v>13-14</v>
      </c>
      <c r="J116" t="str">
        <f t="shared" si="9"/>
        <v>4-6 hrs</v>
      </c>
    </row>
    <row r="117" spans="1:10">
      <c r="A117" s="6">
        <v>116</v>
      </c>
      <c r="B117" s="2">
        <v>17</v>
      </c>
      <c r="C117" s="7">
        <v>2</v>
      </c>
      <c r="D117" s="7">
        <v>4.4000000000000004</v>
      </c>
      <c r="E117" s="7">
        <v>63.7</v>
      </c>
      <c r="F117" s="7">
        <v>2</v>
      </c>
      <c r="G117" s="8" t="str">
        <f t="shared" si="3"/>
        <v>&gt;4</v>
      </c>
      <c r="H117" s="6" t="str">
        <f t="shared" si="10"/>
        <v>0-2 hrs</v>
      </c>
      <c r="I117" s="8" t="str">
        <f>IF(B117&lt;=12,"&lt;=12", IF(B117&lt;=14,"13-14", IF(B117&lt;=16,"15-16","17+")))</f>
        <v>17+</v>
      </c>
      <c r="J117" t="str">
        <f t="shared" si="9"/>
        <v>4-6 hrs</v>
      </c>
    </row>
    <row r="118" spans="1:10">
      <c r="A118" s="6">
        <v>117</v>
      </c>
      <c r="B118" s="2">
        <v>14</v>
      </c>
      <c r="C118" s="7">
        <v>4.0999999999999996</v>
      </c>
      <c r="D118" s="7">
        <v>5.2</v>
      </c>
      <c r="E118" s="7">
        <v>60.8</v>
      </c>
      <c r="F118" s="7">
        <v>0.9</v>
      </c>
      <c r="G118" s="8" t="str">
        <f t="shared" si="3"/>
        <v>&gt;4</v>
      </c>
      <c r="H118" s="6" t="str">
        <f t="shared" si="10"/>
        <v>5-6 hrs</v>
      </c>
      <c r="I118" s="8" t="str">
        <f>IF(B118&lt;=12,"&lt;=12", IF(B118&lt;=14,"13-14", IF(B118&lt;=16,"15-16","17+")))</f>
        <v>13-14</v>
      </c>
      <c r="J118" t="str">
        <f>IF(D118&lt;=2,"0-2 hrs", IF(D118&lt;=4,"2-4 hrs", IF(D118&lt;=6,"4-6 hrs", IF(D118&lt;=8,"6-8 hrs","8-10 hrs"))))</f>
        <v>4-6 hrs</v>
      </c>
    </row>
    <row r="119" spans="1:10">
      <c r="A119" s="6">
        <v>118</v>
      </c>
      <c r="B119" s="2">
        <v>15</v>
      </c>
      <c r="C119" s="7">
        <v>2.1</v>
      </c>
      <c r="D119" s="7">
        <v>7.1</v>
      </c>
      <c r="E119" s="7">
        <v>72.5</v>
      </c>
      <c r="F119" s="7">
        <v>1.3</v>
      </c>
      <c r="G119" s="8" t="str">
        <f t="shared" si="3"/>
        <v>&gt;4</v>
      </c>
      <c r="H119" s="6" t="str">
        <f t="shared" si="10"/>
        <v>3-4 hrs</v>
      </c>
      <c r="I119" s="8" t="str">
        <f>IF(B119&lt;=12,"&lt;=12", IF(B119&lt;=14,"13-14", IF(B119&lt;=16,"15-16","17+")))</f>
        <v>15-16</v>
      </c>
      <c r="J119" t="str">
        <f t="shared" ref="J119:J128" si="11">IF(D119&lt;=2,"0-2 hrs", IF(D119&lt;=4,"2-4 hrs", IF(D119&lt;=6,"4-6 hrs", IF(D119&lt;=8,"6-8 hrs","8-10 hrs"))))</f>
        <v>6-8 hrs</v>
      </c>
    </row>
    <row r="120" spans="1:10">
      <c r="A120" s="6">
        <v>119</v>
      </c>
      <c r="B120" s="2">
        <v>13</v>
      </c>
      <c r="C120" s="7">
        <v>1.8</v>
      </c>
      <c r="D120" s="7">
        <v>4.4000000000000004</v>
      </c>
      <c r="E120" s="7">
        <v>80.5</v>
      </c>
      <c r="F120" s="7">
        <v>1.7</v>
      </c>
      <c r="G120" s="8" t="str">
        <f t="shared" si="3"/>
        <v>&gt;4</v>
      </c>
      <c r="H120" s="6" t="str">
        <f t="shared" si="10"/>
        <v>0-2 hrs</v>
      </c>
      <c r="I120" s="8" t="str">
        <f>IF(B120&lt;=12,"&lt;=12", IF(B120&lt;=14,"13-14", IF(B120&lt;=16,"15-16","17+")))</f>
        <v>13-14</v>
      </c>
      <c r="J120" t="str">
        <f t="shared" si="11"/>
        <v>4-6 hrs</v>
      </c>
    </row>
    <row r="121" spans="1:10">
      <c r="A121" s="6">
        <v>120</v>
      </c>
      <c r="B121" s="2">
        <v>14</v>
      </c>
      <c r="C121" s="7">
        <v>1.9</v>
      </c>
      <c r="D121" s="7">
        <v>3.3</v>
      </c>
      <c r="E121" s="7">
        <v>67.5</v>
      </c>
      <c r="F121" s="7">
        <v>0</v>
      </c>
      <c r="G121" s="8" t="str">
        <f t="shared" si="3"/>
        <v>2-D64</v>
      </c>
      <c r="H121" s="6" t="str">
        <f t="shared" si="10"/>
        <v>0-2 hrs</v>
      </c>
      <c r="I121" s="8" t="str">
        <f>IF(B121&lt;=12,"&lt;=12", IF(B121&lt;=14,"13-14", IF(B121&lt;=16,"15-16","17+")))</f>
        <v>13-14</v>
      </c>
      <c r="J121" t="str">
        <f t="shared" si="11"/>
        <v>2-4 hrs</v>
      </c>
    </row>
    <row r="122" spans="1:10">
      <c r="A122" s="6">
        <v>121</v>
      </c>
      <c r="B122" s="2">
        <v>14</v>
      </c>
      <c r="C122" s="7">
        <v>2.4</v>
      </c>
      <c r="D122" s="7">
        <v>1</v>
      </c>
      <c r="E122" s="7">
        <v>69.3</v>
      </c>
      <c r="F122" s="7">
        <v>0</v>
      </c>
      <c r="G122" s="8" t="str">
        <f t="shared" si="3"/>
        <v>0-2</v>
      </c>
      <c r="H122" s="6" t="str">
        <f t="shared" si="10"/>
        <v>3-4 hrs</v>
      </c>
      <c r="I122" s="8" t="str">
        <f>IF(B122&lt;=12,"&lt;=12", IF(B122&lt;=14,"13-14", IF(B122&lt;=16,"15-16","17+")))</f>
        <v>13-14</v>
      </c>
      <c r="J122" t="str">
        <f t="shared" si="11"/>
        <v>0-2 hrs</v>
      </c>
    </row>
    <row r="123" spans="1:10">
      <c r="A123" s="6">
        <v>122</v>
      </c>
      <c r="B123" s="2">
        <v>16</v>
      </c>
      <c r="C123" s="7">
        <v>1.7</v>
      </c>
      <c r="D123" s="7">
        <v>6.9</v>
      </c>
      <c r="E123" s="7">
        <v>78.099999999999994</v>
      </c>
      <c r="F123" s="7">
        <v>1.3</v>
      </c>
      <c r="G123" s="8" t="str">
        <f t="shared" si="3"/>
        <v>&gt;4</v>
      </c>
      <c r="H123" s="6" t="str">
        <f t="shared" si="10"/>
        <v>0-2 hrs</v>
      </c>
      <c r="I123" s="8" t="str">
        <f>IF(B123&lt;=12,"&lt;=12", IF(B123&lt;=14,"13-14", IF(B123&lt;=16,"15-16","17+")))</f>
        <v>15-16</v>
      </c>
      <c r="J123" t="str">
        <f t="shared" si="11"/>
        <v>6-8 hrs</v>
      </c>
    </row>
    <row r="124" spans="1:10">
      <c r="A124" s="6">
        <v>123</v>
      </c>
      <c r="B124" s="2">
        <v>17</v>
      </c>
      <c r="C124" s="7">
        <v>2.1</v>
      </c>
      <c r="D124" s="7">
        <v>3.6</v>
      </c>
      <c r="E124" s="7">
        <v>78.400000000000006</v>
      </c>
      <c r="F124" s="7">
        <v>1.9</v>
      </c>
      <c r="G124" s="8" t="str">
        <f t="shared" si="3"/>
        <v>2-D64</v>
      </c>
      <c r="H124" s="6" t="str">
        <f t="shared" si="10"/>
        <v>3-4 hrs</v>
      </c>
      <c r="I124" s="8" t="str">
        <f>IF(B124&lt;=12,"&lt;=12", IF(B124&lt;=14,"13-14", IF(B124&lt;=16,"15-16","17+")))</f>
        <v>17+</v>
      </c>
      <c r="J124" t="str">
        <f t="shared" si="11"/>
        <v>2-4 hrs</v>
      </c>
    </row>
    <row r="125" spans="1:10">
      <c r="A125" s="6">
        <v>124</v>
      </c>
      <c r="B125" s="2">
        <v>15</v>
      </c>
      <c r="C125" s="7">
        <v>2.7</v>
      </c>
      <c r="D125" s="7">
        <v>4.8</v>
      </c>
      <c r="E125" s="7">
        <v>69.599999999999994</v>
      </c>
      <c r="F125" s="7">
        <v>2.1</v>
      </c>
      <c r="G125" s="8" t="str">
        <f t="shared" si="3"/>
        <v>&gt;4</v>
      </c>
      <c r="H125" s="6" t="str">
        <f t="shared" si="10"/>
        <v>3-4 hrs</v>
      </c>
      <c r="I125" s="8" t="str">
        <f>IF(B125&lt;=12,"&lt;=12", IF(B125&lt;=14,"13-14", IF(B125&lt;=16,"15-16","17+")))</f>
        <v>15-16</v>
      </c>
      <c r="J125" t="str">
        <f t="shared" si="11"/>
        <v>4-6 hrs</v>
      </c>
    </row>
    <row r="126" spans="1:10">
      <c r="A126" s="6">
        <v>125</v>
      </c>
      <c r="B126" s="2">
        <v>13</v>
      </c>
      <c r="C126" s="7">
        <v>2.4</v>
      </c>
      <c r="D126" s="7">
        <v>6.9</v>
      </c>
      <c r="E126" s="7">
        <v>65.599999999999994</v>
      </c>
      <c r="F126" s="7">
        <v>0.2</v>
      </c>
      <c r="G126" s="8" t="str">
        <f t="shared" si="3"/>
        <v>&gt;4</v>
      </c>
      <c r="H126" s="6" t="str">
        <f t="shared" si="10"/>
        <v>3-4 hrs</v>
      </c>
      <c r="I126" s="8" t="str">
        <f>IF(B126&lt;=12,"&lt;=12", IF(B126&lt;=14,"13-14", IF(B126&lt;=16,"15-16","17+")))</f>
        <v>13-14</v>
      </c>
      <c r="J126" t="str">
        <f t="shared" si="11"/>
        <v>6-8 hrs</v>
      </c>
    </row>
    <row r="127" spans="1:10">
      <c r="A127" s="6">
        <v>126</v>
      </c>
      <c r="B127" s="2">
        <v>16</v>
      </c>
      <c r="C127" s="7">
        <v>3.3</v>
      </c>
      <c r="D127" s="7">
        <v>4.3</v>
      </c>
      <c r="E127" s="7">
        <v>70.8</v>
      </c>
      <c r="F127" s="7">
        <v>2</v>
      </c>
      <c r="G127" s="8" t="str">
        <f t="shared" si="3"/>
        <v>&gt;4</v>
      </c>
      <c r="H127" s="6" t="str">
        <f t="shared" si="10"/>
        <v>3-4 hrs</v>
      </c>
      <c r="I127" s="8" t="str">
        <f>IF(B127&lt;=12,"&lt;=12", IF(B127&lt;=14,"13-14", IF(B127&lt;=16,"15-16","17+")))</f>
        <v>15-16</v>
      </c>
      <c r="J127" t="str">
        <f t="shared" si="11"/>
        <v>4-6 hrs</v>
      </c>
    </row>
    <row r="128" spans="1:10">
      <c r="A128" s="6">
        <v>127</v>
      </c>
      <c r="B128" s="2">
        <v>17</v>
      </c>
      <c r="C128" s="7">
        <v>2.2000000000000002</v>
      </c>
      <c r="D128" s="7">
        <v>3.7</v>
      </c>
      <c r="E128" s="7">
        <v>68.099999999999994</v>
      </c>
      <c r="F128" s="7">
        <v>1.3</v>
      </c>
      <c r="G128" s="8" t="str">
        <f t="shared" si="3"/>
        <v>2-D64</v>
      </c>
      <c r="H128" s="6" t="str">
        <f t="shared" si="10"/>
        <v>3-4 hrs</v>
      </c>
      <c r="I128" s="8" t="str">
        <f>IF(B128&lt;=12,"&lt;=12", IF(B128&lt;=14,"13-14", IF(B128&lt;=16,"15-16","17+")))</f>
        <v>17+</v>
      </c>
      <c r="J128" t="str">
        <f t="shared" si="11"/>
        <v>2-4 hrs</v>
      </c>
    </row>
    <row r="129" spans="1:10">
      <c r="A129" s="6">
        <v>128</v>
      </c>
      <c r="B129" s="2">
        <v>16</v>
      </c>
      <c r="C129" s="7">
        <v>2.2999999999999998</v>
      </c>
      <c r="D129" s="7">
        <v>6.1</v>
      </c>
      <c r="E129" s="7">
        <v>73.099999999999994</v>
      </c>
      <c r="F129" s="7">
        <v>0.8</v>
      </c>
      <c r="G129" s="8" t="str">
        <f t="shared" si="3"/>
        <v>&gt;4</v>
      </c>
      <c r="H129" s="6" t="str">
        <f t="shared" si="10"/>
        <v>3-4 hrs</v>
      </c>
      <c r="I129" s="8" t="str">
        <f>IF(B129&lt;=12,"&lt;=12", IF(B129&lt;=14,"13-14", IF(B129&lt;=16,"15-16","17+")))</f>
        <v>15-16</v>
      </c>
      <c r="J129" t="str">
        <f>IF(D129&lt;=2,"0-2 hrs", IF(D129&lt;=4,"2-4 hrs", IF(D129&lt;=6,"4-6 hrs", IF(D129&lt;=8,"6-8 hrs","8-10 hrs"))))</f>
        <v>6-8 hrs</v>
      </c>
    </row>
    <row r="130" spans="1:10">
      <c r="A130" s="6">
        <v>129</v>
      </c>
      <c r="B130" s="2">
        <v>17</v>
      </c>
      <c r="C130" s="7">
        <v>2.8</v>
      </c>
      <c r="D130" s="7">
        <v>4.7</v>
      </c>
      <c r="E130" s="7">
        <v>58.1</v>
      </c>
      <c r="F130" s="7">
        <v>1</v>
      </c>
      <c r="G130" s="8" t="str">
        <f t="shared" si="3"/>
        <v>&gt;4</v>
      </c>
      <c r="H130" s="6" t="str">
        <f>IF(C130&lt;=2,"0-2 hrs", IF(C130&lt;=4,"3-4 hrs", IF(C130&lt;=6,"5-6 hrs","7+ hrs")))</f>
        <v>3-4 hrs</v>
      </c>
      <c r="I130" s="8" t="str">
        <f>IF(B130&lt;=12,"&lt;=12", IF(B130&lt;=14,"13-14", IF(B130&lt;=16,"15-16","17+")))</f>
        <v>17+</v>
      </c>
      <c r="J130" t="str">
        <f t="shared" ref="J130:J156" si="12">IF(D130&lt;=2,"0-2 hrs", IF(D130&lt;=4,"2-4 hrs", IF(D130&lt;=6,"4-6 hrs", IF(D130&lt;=8,"6-8 hrs","8-10 hrs"))))</f>
        <v>4-6 hrs</v>
      </c>
    </row>
    <row r="131" spans="1:10">
      <c r="A131" s="6">
        <v>130</v>
      </c>
      <c r="B131" s="2">
        <v>17</v>
      </c>
      <c r="C131" s="7">
        <v>4.7</v>
      </c>
      <c r="D131" s="7">
        <v>4.9000000000000004</v>
      </c>
      <c r="E131" s="7">
        <v>72.8</v>
      </c>
      <c r="F131" s="7">
        <v>2.1</v>
      </c>
      <c r="G131" s="8" t="str">
        <f t="shared" ref="G131:G194" si="13">IF(D131&lt;=2,"0-2",IF(D131&lt;=4,"2-D64","&gt;4"))</f>
        <v>&gt;4</v>
      </c>
      <c r="H131" s="6" t="str">
        <f t="shared" ref="H131:H145" si="14">IF(C131&lt;=2,"0-2 hrs", IF(C131&lt;=4,"3-4 hrs", IF(C131&lt;=6,"5-6 hrs","7+ hrs")))</f>
        <v>5-6 hrs</v>
      </c>
      <c r="I131" s="8" t="str">
        <f>IF(B131&lt;=12,"&lt;=12", IF(B131&lt;=14,"13-14", IF(B131&lt;=16,"15-16","17+")))</f>
        <v>17+</v>
      </c>
      <c r="J131" t="str">
        <f t="shared" si="12"/>
        <v>4-6 hrs</v>
      </c>
    </row>
    <row r="132" spans="1:10">
      <c r="A132" s="6">
        <v>131</v>
      </c>
      <c r="B132" s="2">
        <v>15</v>
      </c>
      <c r="C132" s="7">
        <v>1.7</v>
      </c>
      <c r="D132" s="7">
        <v>1.7</v>
      </c>
      <c r="E132" s="7">
        <v>62.8</v>
      </c>
      <c r="F132" s="7">
        <v>1.7</v>
      </c>
      <c r="G132" s="8" t="str">
        <f t="shared" si="13"/>
        <v>0-2</v>
      </c>
      <c r="H132" s="6" t="str">
        <f t="shared" si="14"/>
        <v>0-2 hrs</v>
      </c>
      <c r="I132" s="8" t="str">
        <f>IF(B132&lt;=12,"&lt;=12", IF(B132&lt;=14,"13-14", IF(B132&lt;=16,"15-16","17+")))</f>
        <v>15-16</v>
      </c>
      <c r="J132" t="str">
        <f t="shared" si="12"/>
        <v>0-2 hrs</v>
      </c>
    </row>
    <row r="133" spans="1:10">
      <c r="A133" s="6">
        <v>132</v>
      </c>
      <c r="B133" s="2">
        <v>17</v>
      </c>
      <c r="C133" s="7">
        <v>4.4000000000000004</v>
      </c>
      <c r="D133" s="7">
        <v>5.8</v>
      </c>
      <c r="E133" s="7">
        <v>79.099999999999994</v>
      </c>
      <c r="F133" s="7">
        <v>1.5</v>
      </c>
      <c r="G133" s="8" t="str">
        <f t="shared" si="13"/>
        <v>&gt;4</v>
      </c>
      <c r="H133" s="6" t="str">
        <f t="shared" si="14"/>
        <v>5-6 hrs</v>
      </c>
      <c r="I133" s="8" t="str">
        <f>IF(B133&lt;=12,"&lt;=12", IF(B133&lt;=14,"13-14", IF(B133&lt;=16,"15-16","17+")))</f>
        <v>17+</v>
      </c>
      <c r="J133" t="str">
        <f t="shared" si="12"/>
        <v>4-6 hrs</v>
      </c>
    </row>
    <row r="134" spans="1:10">
      <c r="A134" s="6">
        <v>133</v>
      </c>
      <c r="B134" s="2">
        <v>16</v>
      </c>
      <c r="C134" s="7">
        <v>1.3</v>
      </c>
      <c r="D134" s="7">
        <v>4.5999999999999996</v>
      </c>
      <c r="E134" s="7">
        <v>63.3</v>
      </c>
      <c r="F134" s="7">
        <v>1.7</v>
      </c>
      <c r="G134" s="8" t="str">
        <f t="shared" si="13"/>
        <v>&gt;4</v>
      </c>
      <c r="H134" s="6" t="str">
        <f t="shared" si="14"/>
        <v>0-2 hrs</v>
      </c>
      <c r="I134" s="8" t="str">
        <f>IF(B134&lt;=12,"&lt;=12", IF(B134&lt;=14,"13-14", IF(B134&lt;=16,"15-16","17+")))</f>
        <v>15-16</v>
      </c>
      <c r="J134" t="str">
        <f t="shared" si="12"/>
        <v>4-6 hrs</v>
      </c>
    </row>
    <row r="135" spans="1:10">
      <c r="A135" s="6">
        <v>134</v>
      </c>
      <c r="B135" s="2">
        <v>17</v>
      </c>
      <c r="C135" s="7">
        <v>2.7</v>
      </c>
      <c r="D135" s="7">
        <v>1.9</v>
      </c>
      <c r="E135" s="7">
        <v>63.4</v>
      </c>
      <c r="F135" s="7">
        <v>2.2000000000000002</v>
      </c>
      <c r="G135" s="8" t="str">
        <f t="shared" si="13"/>
        <v>0-2</v>
      </c>
      <c r="H135" s="6" t="str">
        <f t="shared" si="14"/>
        <v>3-4 hrs</v>
      </c>
      <c r="I135" s="8" t="str">
        <f>IF(B135&lt;=12,"&lt;=12", IF(B135&lt;=14,"13-14", IF(B135&lt;=16,"15-16","17+")))</f>
        <v>17+</v>
      </c>
      <c r="J135" t="str">
        <f t="shared" si="12"/>
        <v>0-2 hrs</v>
      </c>
    </row>
    <row r="136" spans="1:10">
      <c r="A136" s="6">
        <v>135</v>
      </c>
      <c r="B136" s="2">
        <v>15</v>
      </c>
      <c r="C136" s="7">
        <v>0</v>
      </c>
      <c r="D136" s="7">
        <v>4.7</v>
      </c>
      <c r="E136" s="7">
        <v>74.5</v>
      </c>
      <c r="F136" s="7">
        <v>1.4</v>
      </c>
      <c r="G136" s="8" t="str">
        <f t="shared" si="13"/>
        <v>&gt;4</v>
      </c>
      <c r="H136" s="6" t="str">
        <f t="shared" si="14"/>
        <v>0-2 hrs</v>
      </c>
      <c r="I136" s="8" t="str">
        <f>IF(B136&lt;=12,"&lt;=12", IF(B136&lt;=14,"13-14", IF(B136&lt;=16,"15-16","17+")))</f>
        <v>15-16</v>
      </c>
      <c r="J136" t="str">
        <f t="shared" si="12"/>
        <v>4-6 hrs</v>
      </c>
    </row>
    <row r="137" spans="1:10">
      <c r="A137" s="6">
        <v>136</v>
      </c>
      <c r="B137" s="2">
        <v>15</v>
      </c>
      <c r="C137" s="7">
        <v>1.7</v>
      </c>
      <c r="D137" s="7">
        <v>0.9</v>
      </c>
      <c r="E137" s="7">
        <v>70.099999999999994</v>
      </c>
      <c r="F137" s="7">
        <v>1.5</v>
      </c>
      <c r="G137" s="8" t="str">
        <f t="shared" si="13"/>
        <v>0-2</v>
      </c>
      <c r="H137" s="6" t="str">
        <f t="shared" si="14"/>
        <v>0-2 hrs</v>
      </c>
      <c r="I137" s="8" t="str">
        <f>IF(B137&lt;=12,"&lt;=12", IF(B137&lt;=14,"13-14", IF(B137&lt;=16,"15-16","17+")))</f>
        <v>15-16</v>
      </c>
      <c r="J137" t="str">
        <f t="shared" si="12"/>
        <v>0-2 hrs</v>
      </c>
    </row>
    <row r="138" spans="1:10">
      <c r="A138" s="6">
        <v>137</v>
      </c>
      <c r="B138" s="2">
        <v>16</v>
      </c>
      <c r="C138" s="7">
        <v>3.2</v>
      </c>
      <c r="D138" s="7">
        <v>7.5</v>
      </c>
      <c r="E138" s="7">
        <v>92.8</v>
      </c>
      <c r="F138" s="7">
        <v>2.4</v>
      </c>
      <c r="G138" s="8" t="str">
        <f t="shared" si="13"/>
        <v>&gt;4</v>
      </c>
      <c r="H138" s="6" t="str">
        <f t="shared" si="14"/>
        <v>3-4 hrs</v>
      </c>
      <c r="I138" s="8" t="str">
        <f>IF(B138&lt;=12,"&lt;=12", IF(B138&lt;=14,"13-14", IF(B138&lt;=16,"15-16","17+")))</f>
        <v>15-16</v>
      </c>
      <c r="J138" t="str">
        <f t="shared" si="12"/>
        <v>6-8 hrs</v>
      </c>
    </row>
    <row r="139" spans="1:10">
      <c r="A139" s="6">
        <v>138</v>
      </c>
      <c r="B139" s="2">
        <v>14</v>
      </c>
      <c r="C139" s="7">
        <v>3.1</v>
      </c>
      <c r="D139" s="7">
        <v>2.2999999999999998</v>
      </c>
      <c r="E139" s="7">
        <v>0</v>
      </c>
      <c r="F139" s="7">
        <v>1.2</v>
      </c>
      <c r="G139" s="8" t="str">
        <f t="shared" si="13"/>
        <v>2-D64</v>
      </c>
      <c r="H139" s="6" t="str">
        <f t="shared" si="14"/>
        <v>3-4 hrs</v>
      </c>
      <c r="I139" s="8" t="str">
        <f>IF(B139&lt;=12,"&lt;=12", IF(B139&lt;=14,"13-14", IF(B139&lt;=16,"15-16","17+")))</f>
        <v>13-14</v>
      </c>
      <c r="J139" t="str">
        <f t="shared" si="12"/>
        <v>2-4 hrs</v>
      </c>
    </row>
    <row r="140" spans="1:10">
      <c r="A140" s="6">
        <v>139</v>
      </c>
      <c r="B140" s="2">
        <v>14</v>
      </c>
      <c r="C140" s="7">
        <v>2</v>
      </c>
      <c r="D140" s="7">
        <v>6.4</v>
      </c>
      <c r="E140" s="7">
        <v>71.099999999999994</v>
      </c>
      <c r="F140" s="7">
        <v>2</v>
      </c>
      <c r="G140" s="8" t="str">
        <f t="shared" si="13"/>
        <v>&gt;4</v>
      </c>
      <c r="H140" s="6" t="str">
        <f t="shared" si="14"/>
        <v>0-2 hrs</v>
      </c>
      <c r="I140" s="8" t="str">
        <f>IF(B140&lt;=12,"&lt;=12", IF(B140&lt;=14,"13-14", IF(B140&lt;=16,"15-16","17+")))</f>
        <v>13-14</v>
      </c>
      <c r="J140" t="str">
        <f t="shared" si="12"/>
        <v>6-8 hrs</v>
      </c>
    </row>
    <row r="141" spans="1:10">
      <c r="A141" s="6">
        <v>140</v>
      </c>
      <c r="B141" s="2">
        <v>17</v>
      </c>
      <c r="C141" s="7">
        <v>0.4</v>
      </c>
      <c r="D141" s="7">
        <v>2.8</v>
      </c>
      <c r="E141" s="7">
        <v>81.3</v>
      </c>
      <c r="F141" s="7">
        <v>1.1000000000000001</v>
      </c>
      <c r="G141" s="8" t="str">
        <f t="shared" si="13"/>
        <v>2-D64</v>
      </c>
      <c r="H141" s="6" t="str">
        <f t="shared" si="14"/>
        <v>0-2 hrs</v>
      </c>
      <c r="I141" s="8" t="str">
        <f>IF(B141&lt;=12,"&lt;=12", IF(B141&lt;=14,"13-14", IF(B141&lt;=16,"15-16","17+")))</f>
        <v>17+</v>
      </c>
      <c r="J141" t="str">
        <f t="shared" si="12"/>
        <v>2-4 hrs</v>
      </c>
    </row>
    <row r="142" spans="1:10">
      <c r="A142" s="6">
        <v>141</v>
      </c>
      <c r="B142" s="2">
        <v>13</v>
      </c>
      <c r="C142" s="7">
        <v>2.1</v>
      </c>
      <c r="D142" s="7">
        <v>4.8</v>
      </c>
      <c r="E142" s="7">
        <v>64.2</v>
      </c>
      <c r="F142" s="7">
        <v>1.2</v>
      </c>
      <c r="G142" s="8" t="str">
        <f t="shared" si="13"/>
        <v>&gt;4</v>
      </c>
      <c r="H142" s="6" t="str">
        <f t="shared" si="14"/>
        <v>3-4 hrs</v>
      </c>
      <c r="I142" s="8" t="str">
        <f>IF(B142&lt;=12,"&lt;=12", IF(B142&lt;=14,"13-14", IF(B142&lt;=16,"15-16","17+")))</f>
        <v>13-14</v>
      </c>
      <c r="J142" t="str">
        <f t="shared" si="12"/>
        <v>4-6 hrs</v>
      </c>
    </row>
    <row r="143" spans="1:10">
      <c r="A143" s="6">
        <v>142</v>
      </c>
      <c r="B143" s="2">
        <v>17</v>
      </c>
      <c r="C143" s="7">
        <v>2.6</v>
      </c>
      <c r="D143" s="7">
        <v>2.6</v>
      </c>
      <c r="E143" s="7">
        <v>60.9</v>
      </c>
      <c r="F143" s="7">
        <v>1.4</v>
      </c>
      <c r="G143" s="8" t="str">
        <f t="shared" si="13"/>
        <v>2-D64</v>
      </c>
      <c r="H143" s="6" t="str">
        <f t="shared" si="14"/>
        <v>3-4 hrs</v>
      </c>
      <c r="I143" s="8" t="str">
        <f>IF(B143&lt;=12,"&lt;=12", IF(B143&lt;=14,"13-14", IF(B143&lt;=16,"15-16","17+")))</f>
        <v>17+</v>
      </c>
      <c r="J143" t="str">
        <f t="shared" si="12"/>
        <v>2-4 hrs</v>
      </c>
    </row>
    <row r="144" spans="1:10">
      <c r="A144" s="6">
        <v>143</v>
      </c>
      <c r="B144" s="2">
        <v>16</v>
      </c>
      <c r="C144" s="7">
        <v>2.5</v>
      </c>
      <c r="D144" s="7">
        <v>5.5</v>
      </c>
      <c r="E144" s="7">
        <v>61.3</v>
      </c>
      <c r="F144" s="7">
        <v>1.9</v>
      </c>
      <c r="G144" s="8" t="str">
        <f t="shared" si="13"/>
        <v>&gt;4</v>
      </c>
      <c r="H144" s="6" t="str">
        <f t="shared" si="14"/>
        <v>3-4 hrs</v>
      </c>
      <c r="I144" s="8" t="str">
        <f>IF(B144&lt;=12,"&lt;=12", IF(B144&lt;=14,"13-14", IF(B144&lt;=16,"15-16","17+")))</f>
        <v>15-16</v>
      </c>
      <c r="J144" t="str">
        <f t="shared" si="12"/>
        <v>4-6 hrs</v>
      </c>
    </row>
    <row r="145" spans="1:10">
      <c r="A145" s="6">
        <v>144</v>
      </c>
      <c r="B145" s="2">
        <v>16</v>
      </c>
      <c r="C145" s="7">
        <v>3.3</v>
      </c>
      <c r="D145" s="7">
        <v>3.6</v>
      </c>
      <c r="E145" s="7">
        <v>53.9</v>
      </c>
      <c r="F145" s="7">
        <v>2.5</v>
      </c>
      <c r="G145" s="8" t="str">
        <f t="shared" si="13"/>
        <v>2-D64</v>
      </c>
      <c r="H145" s="6" t="str">
        <f t="shared" si="14"/>
        <v>3-4 hrs</v>
      </c>
      <c r="I145" s="8" t="str">
        <f>IF(B145&lt;=12,"&lt;=12", IF(B145&lt;=14,"13-14", IF(B145&lt;=16,"15-16","17+")))</f>
        <v>15-16</v>
      </c>
      <c r="J145" t="str">
        <f t="shared" si="12"/>
        <v>2-4 hrs</v>
      </c>
    </row>
    <row r="146" spans="1:10">
      <c r="A146" s="6">
        <v>145</v>
      </c>
      <c r="B146" s="2">
        <v>16</v>
      </c>
      <c r="C146" s="7">
        <v>4.4000000000000004</v>
      </c>
      <c r="D146" s="7">
        <v>4.7</v>
      </c>
      <c r="E146" s="7">
        <v>83.5</v>
      </c>
      <c r="F146" s="7">
        <v>1.6</v>
      </c>
      <c r="G146" s="8" t="str">
        <f t="shared" si="13"/>
        <v>&gt;4</v>
      </c>
      <c r="H146" s="6" t="str">
        <f>IF(C146&lt;=2,"0-2 hrs", IF(C146&lt;=4,"3-4 hrs", IF(C146&lt;=6,"5-6 hrs","7+ hrs")))</f>
        <v>5-6 hrs</v>
      </c>
      <c r="I146" s="8" t="str">
        <f>IF(B146&lt;=12,"&lt;=12", IF(B146&lt;=14,"13-14", IF(B146&lt;=16,"15-16","17+")))</f>
        <v>15-16</v>
      </c>
      <c r="J146" t="str">
        <f t="shared" si="12"/>
        <v>4-6 hrs</v>
      </c>
    </row>
    <row r="147" spans="1:10">
      <c r="A147" s="6">
        <v>146</v>
      </c>
      <c r="B147" s="2">
        <v>16</v>
      </c>
      <c r="C147" s="7">
        <v>2.9</v>
      </c>
      <c r="D147" s="7">
        <v>4</v>
      </c>
      <c r="E147" s="7">
        <v>66.7</v>
      </c>
      <c r="F147" s="7">
        <v>0.3</v>
      </c>
      <c r="G147" s="8" t="str">
        <f t="shared" si="13"/>
        <v>2-D64</v>
      </c>
      <c r="H147" s="6" t="str">
        <f t="shared" ref="H147:H166" si="15">IF(C147&lt;=2,"0-2 hrs", IF(C147&lt;=4,"3-4 hrs", IF(C147&lt;=6,"5-6 hrs","7+ hrs")))</f>
        <v>3-4 hrs</v>
      </c>
      <c r="I147" s="8" t="str">
        <f>IF(B147&lt;=12,"&lt;=12", IF(B147&lt;=14,"13-14", IF(B147&lt;=16,"15-16","17+")))</f>
        <v>15-16</v>
      </c>
      <c r="J147" t="str">
        <f t="shared" si="12"/>
        <v>2-4 hrs</v>
      </c>
    </row>
    <row r="148" spans="1:10">
      <c r="A148" s="6">
        <v>147</v>
      </c>
      <c r="B148" s="2">
        <v>16</v>
      </c>
      <c r="C148" s="7">
        <v>3.1</v>
      </c>
      <c r="D148" s="7">
        <v>2</v>
      </c>
      <c r="E148" s="7">
        <v>65.5</v>
      </c>
      <c r="F148" s="7">
        <v>2</v>
      </c>
      <c r="G148" s="8" t="str">
        <f t="shared" si="13"/>
        <v>0-2</v>
      </c>
      <c r="H148" s="6" t="str">
        <f t="shared" si="15"/>
        <v>3-4 hrs</v>
      </c>
      <c r="I148" s="8" t="str">
        <f>IF(B148&lt;=12,"&lt;=12", IF(B148&lt;=14,"13-14", IF(B148&lt;=16,"15-16","17+")))</f>
        <v>15-16</v>
      </c>
      <c r="J148" t="str">
        <f t="shared" si="12"/>
        <v>0-2 hrs</v>
      </c>
    </row>
    <row r="149" spans="1:10">
      <c r="A149" s="6">
        <v>148</v>
      </c>
      <c r="B149" s="2">
        <v>15</v>
      </c>
      <c r="C149" s="7">
        <v>2.6</v>
      </c>
      <c r="D149" s="7">
        <v>4.8</v>
      </c>
      <c r="E149" s="7">
        <v>48.8</v>
      </c>
      <c r="F149" s="7">
        <v>3.5</v>
      </c>
      <c r="G149" s="8" t="str">
        <f t="shared" si="13"/>
        <v>&gt;4</v>
      </c>
      <c r="H149" s="6" t="str">
        <f t="shared" si="15"/>
        <v>3-4 hrs</v>
      </c>
      <c r="I149" s="8" t="str">
        <f>IF(B149&lt;=12,"&lt;=12", IF(B149&lt;=14,"13-14", IF(B149&lt;=16,"15-16","17+")))</f>
        <v>15-16</v>
      </c>
      <c r="J149" t="str">
        <f t="shared" si="12"/>
        <v>4-6 hrs</v>
      </c>
    </row>
    <row r="150" spans="1:10">
      <c r="A150" s="6">
        <v>149</v>
      </c>
      <c r="B150" s="2">
        <v>14</v>
      </c>
      <c r="C150" s="7">
        <v>3.7</v>
      </c>
      <c r="D150" s="7">
        <v>3.2</v>
      </c>
      <c r="E150" s="7">
        <v>55.7</v>
      </c>
      <c r="F150" s="7">
        <v>1.6</v>
      </c>
      <c r="G150" s="8" t="str">
        <f t="shared" si="13"/>
        <v>2-D64</v>
      </c>
      <c r="H150" s="6" t="str">
        <f t="shared" si="15"/>
        <v>3-4 hrs</v>
      </c>
      <c r="I150" s="8" t="str">
        <f>IF(B150&lt;=12,"&lt;=12", IF(B150&lt;=14,"13-14", IF(B150&lt;=16,"15-16","17+")))</f>
        <v>13-14</v>
      </c>
      <c r="J150" t="str">
        <f t="shared" si="12"/>
        <v>2-4 hrs</v>
      </c>
    </row>
    <row r="151" spans="1:10">
      <c r="A151" s="6">
        <v>150</v>
      </c>
      <c r="B151" s="2">
        <v>16</v>
      </c>
      <c r="C151" s="7">
        <v>3</v>
      </c>
      <c r="D151" s="7">
        <v>5.6</v>
      </c>
      <c r="E151" s="7">
        <v>84.7</v>
      </c>
      <c r="F151" s="7">
        <v>0.1</v>
      </c>
      <c r="G151" s="8" t="str">
        <f t="shared" si="13"/>
        <v>&gt;4</v>
      </c>
      <c r="H151" s="6" t="str">
        <f t="shared" si="15"/>
        <v>3-4 hrs</v>
      </c>
      <c r="I151" s="8" t="str">
        <f>IF(B151&lt;=12,"&lt;=12", IF(B151&lt;=14,"13-14", IF(B151&lt;=16,"15-16","17+")))</f>
        <v>15-16</v>
      </c>
      <c r="J151" t="str">
        <f t="shared" si="12"/>
        <v>4-6 hrs</v>
      </c>
    </row>
    <row r="152" spans="1:10">
      <c r="A152" s="6">
        <v>151</v>
      </c>
      <c r="B152" s="2">
        <v>13</v>
      </c>
      <c r="C152" s="7">
        <v>3.2</v>
      </c>
      <c r="D152" s="7">
        <v>3.6</v>
      </c>
      <c r="E152" s="7">
        <v>73</v>
      </c>
      <c r="F152" s="7">
        <v>1.6</v>
      </c>
      <c r="G152" s="8" t="str">
        <f t="shared" si="13"/>
        <v>2-D64</v>
      </c>
      <c r="H152" s="6" t="str">
        <f t="shared" si="15"/>
        <v>3-4 hrs</v>
      </c>
      <c r="I152" s="8" t="str">
        <f>IF(B152&lt;=12,"&lt;=12", IF(B152&lt;=14,"13-14", IF(B152&lt;=16,"15-16","17+")))</f>
        <v>13-14</v>
      </c>
      <c r="J152" t="str">
        <f t="shared" si="12"/>
        <v>2-4 hrs</v>
      </c>
    </row>
    <row r="153" spans="1:10">
      <c r="A153" s="6">
        <v>152</v>
      </c>
      <c r="B153" s="2">
        <v>13</v>
      </c>
      <c r="C153" s="7">
        <v>4.3</v>
      </c>
      <c r="D153" s="7">
        <v>3.9</v>
      </c>
      <c r="E153" s="7">
        <v>81.7</v>
      </c>
      <c r="F153" s="7">
        <v>1.5</v>
      </c>
      <c r="G153" s="8" t="str">
        <f t="shared" si="13"/>
        <v>2-D64</v>
      </c>
      <c r="H153" s="6" t="str">
        <f t="shared" si="15"/>
        <v>5-6 hrs</v>
      </c>
      <c r="I153" s="8" t="str">
        <f>IF(B153&lt;=12,"&lt;=12", IF(B153&lt;=14,"13-14", IF(B153&lt;=16,"15-16","17+")))</f>
        <v>13-14</v>
      </c>
      <c r="J153" t="str">
        <f t="shared" si="12"/>
        <v>2-4 hrs</v>
      </c>
    </row>
    <row r="154" spans="1:10">
      <c r="A154" s="6">
        <v>153</v>
      </c>
      <c r="B154" s="2">
        <v>13</v>
      </c>
      <c r="C154" s="7">
        <v>2.7</v>
      </c>
      <c r="D154" s="7">
        <v>6.5</v>
      </c>
      <c r="E154" s="7">
        <v>80.400000000000006</v>
      </c>
      <c r="F154" s="7">
        <v>1.4</v>
      </c>
      <c r="G154" s="8" t="str">
        <f t="shared" si="13"/>
        <v>&gt;4</v>
      </c>
      <c r="H154" s="6" t="str">
        <f t="shared" si="15"/>
        <v>3-4 hrs</v>
      </c>
      <c r="I154" s="8" t="str">
        <f>IF(B154&lt;=12,"&lt;=12", IF(B154&lt;=14,"13-14", IF(B154&lt;=16,"15-16","17+")))</f>
        <v>13-14</v>
      </c>
      <c r="J154" t="str">
        <f t="shared" si="12"/>
        <v>6-8 hrs</v>
      </c>
    </row>
    <row r="155" spans="1:10">
      <c r="A155" s="6">
        <v>154</v>
      </c>
      <c r="B155" s="2">
        <v>13</v>
      </c>
      <c r="C155" s="7">
        <v>2.2000000000000002</v>
      </c>
      <c r="D155" s="7">
        <v>7.6</v>
      </c>
      <c r="E155" s="7">
        <v>60</v>
      </c>
      <c r="F155" s="7">
        <v>2.2999999999999998</v>
      </c>
      <c r="G155" s="8" t="str">
        <f t="shared" si="13"/>
        <v>&gt;4</v>
      </c>
      <c r="H155" s="6" t="str">
        <f t="shared" si="15"/>
        <v>3-4 hrs</v>
      </c>
      <c r="I155" s="8" t="str">
        <f>IF(B155&lt;=12,"&lt;=12", IF(B155&lt;=14,"13-14", IF(B155&lt;=16,"15-16","17+")))</f>
        <v>13-14</v>
      </c>
      <c r="J155" t="str">
        <f t="shared" si="12"/>
        <v>6-8 hrs</v>
      </c>
    </row>
    <row r="156" spans="1:10">
      <c r="A156" s="6">
        <v>155</v>
      </c>
      <c r="B156" s="2">
        <v>15</v>
      </c>
      <c r="C156" s="7">
        <v>2.9</v>
      </c>
      <c r="D156" s="7">
        <v>5.2</v>
      </c>
      <c r="E156" s="7">
        <v>94.3</v>
      </c>
      <c r="F156" s="7">
        <v>2.6</v>
      </c>
      <c r="G156" s="8" t="str">
        <f t="shared" si="13"/>
        <v>&gt;4</v>
      </c>
      <c r="H156" s="6" t="str">
        <f t="shared" si="15"/>
        <v>3-4 hrs</v>
      </c>
      <c r="I156" s="8" t="str">
        <f>IF(B156&lt;=12,"&lt;=12", IF(B156&lt;=14,"13-14", IF(B156&lt;=16,"15-16","17+")))</f>
        <v>15-16</v>
      </c>
      <c r="J156" t="str">
        <f t="shared" si="12"/>
        <v>4-6 hrs</v>
      </c>
    </row>
    <row r="157" spans="1:10">
      <c r="A157" s="6">
        <v>156</v>
      </c>
      <c r="B157" s="2">
        <v>13</v>
      </c>
      <c r="C157" s="7">
        <v>3.6</v>
      </c>
      <c r="D157" s="7">
        <v>3.6</v>
      </c>
      <c r="E157" s="7">
        <v>89.5</v>
      </c>
      <c r="F157" s="7">
        <v>2</v>
      </c>
      <c r="G157" s="8" t="str">
        <f t="shared" si="13"/>
        <v>2-D64</v>
      </c>
      <c r="H157" s="6" t="str">
        <f t="shared" si="15"/>
        <v>3-4 hrs</v>
      </c>
      <c r="I157" s="8" t="str">
        <f>IF(B157&lt;=12,"&lt;=12", IF(B157&lt;=14,"13-14", IF(B157&lt;=16,"15-16","17+")))</f>
        <v>13-14</v>
      </c>
      <c r="J157" t="str">
        <f>IF(D157&lt;=2,"0-2 hrs", IF(D157&lt;=4,"2-4 hrs", IF(D157&lt;=6,"4-6 hrs", IF(D157&lt;=8,"6-8 hrs","8-10 hrs"))))</f>
        <v>2-4 hrs</v>
      </c>
    </row>
    <row r="158" spans="1:10">
      <c r="A158" s="6">
        <v>157</v>
      </c>
      <c r="B158" s="2">
        <v>16</v>
      </c>
      <c r="C158" s="7">
        <v>3</v>
      </c>
      <c r="D158" s="7">
        <v>3.4</v>
      </c>
      <c r="E158" s="7">
        <v>64.400000000000006</v>
      </c>
      <c r="F158" s="7">
        <v>1.4</v>
      </c>
      <c r="G158" s="8" t="str">
        <f t="shared" si="13"/>
        <v>2-D64</v>
      </c>
      <c r="H158" s="6" t="str">
        <f t="shared" si="15"/>
        <v>3-4 hrs</v>
      </c>
      <c r="I158" s="8" t="str">
        <f>IF(B158&lt;=12,"&lt;=12", IF(B158&lt;=14,"13-14", IF(B158&lt;=16,"15-16","17+")))</f>
        <v>15-16</v>
      </c>
      <c r="J158" t="str">
        <f t="shared" ref="J158:J180" si="16">IF(D158&lt;=2,"0-2 hrs", IF(D158&lt;=4,"2-4 hrs", IF(D158&lt;=6,"4-6 hrs", IF(D158&lt;=8,"6-8 hrs","8-10 hrs"))))</f>
        <v>2-4 hrs</v>
      </c>
    </row>
    <row r="159" spans="1:10">
      <c r="A159" s="6">
        <v>158</v>
      </c>
      <c r="B159" s="2">
        <v>17</v>
      </c>
      <c r="C159" s="7">
        <v>3.6</v>
      </c>
      <c r="D159" s="7">
        <v>2.8</v>
      </c>
      <c r="E159" s="7">
        <v>34.299999999999997</v>
      </c>
      <c r="F159" s="7">
        <v>2.4</v>
      </c>
      <c r="G159" s="8" t="str">
        <f t="shared" si="13"/>
        <v>2-D64</v>
      </c>
      <c r="H159" s="6" t="str">
        <f t="shared" si="15"/>
        <v>3-4 hrs</v>
      </c>
      <c r="I159" s="8" t="str">
        <f>IF(B159&lt;=12,"&lt;=12", IF(B159&lt;=14,"13-14", IF(B159&lt;=16,"15-16","17+")))</f>
        <v>17+</v>
      </c>
      <c r="J159" t="str">
        <f t="shared" si="16"/>
        <v>2-4 hrs</v>
      </c>
    </row>
    <row r="160" spans="1:10">
      <c r="A160" s="6">
        <v>159</v>
      </c>
      <c r="B160" s="2">
        <v>13</v>
      </c>
      <c r="C160" s="7">
        <v>1.8</v>
      </c>
      <c r="D160" s="7">
        <v>3.1</v>
      </c>
      <c r="E160" s="7">
        <v>66.400000000000006</v>
      </c>
      <c r="F160" s="7">
        <v>0.3</v>
      </c>
      <c r="G160" s="8" t="str">
        <f t="shared" si="13"/>
        <v>2-D64</v>
      </c>
      <c r="H160" s="6" t="str">
        <f t="shared" si="15"/>
        <v>0-2 hrs</v>
      </c>
      <c r="I160" s="8" t="str">
        <f>IF(B160&lt;=12,"&lt;=12", IF(B160&lt;=14,"13-14", IF(B160&lt;=16,"15-16","17+")))</f>
        <v>13-14</v>
      </c>
      <c r="J160" t="str">
        <f t="shared" si="16"/>
        <v>2-4 hrs</v>
      </c>
    </row>
    <row r="161" spans="1:10">
      <c r="A161" s="6">
        <v>160</v>
      </c>
      <c r="B161" s="2">
        <v>15</v>
      </c>
      <c r="C161" s="7">
        <v>1.6</v>
      </c>
      <c r="D161" s="7">
        <v>3.6</v>
      </c>
      <c r="E161" s="7">
        <v>72.400000000000006</v>
      </c>
      <c r="F161" s="7">
        <v>0.9</v>
      </c>
      <c r="G161" s="8" t="str">
        <f t="shared" si="13"/>
        <v>2-D64</v>
      </c>
      <c r="H161" s="6" t="str">
        <f t="shared" si="15"/>
        <v>0-2 hrs</v>
      </c>
      <c r="I161" s="8" t="str">
        <f>IF(B161&lt;=12,"&lt;=12", IF(B161&lt;=14,"13-14", IF(B161&lt;=16,"15-16","17+")))</f>
        <v>15-16</v>
      </c>
      <c r="J161" t="str">
        <f t="shared" si="16"/>
        <v>2-4 hrs</v>
      </c>
    </row>
    <row r="162" spans="1:10">
      <c r="A162" s="6">
        <v>161</v>
      </c>
      <c r="B162" s="2">
        <v>15</v>
      </c>
      <c r="C162" s="7">
        <v>2</v>
      </c>
      <c r="D162" s="7">
        <v>6.9</v>
      </c>
      <c r="E162" s="7">
        <v>64.3</v>
      </c>
      <c r="F162" s="7">
        <v>1</v>
      </c>
      <c r="G162" s="8" t="str">
        <f t="shared" si="13"/>
        <v>&gt;4</v>
      </c>
      <c r="H162" s="6" t="str">
        <f t="shared" si="15"/>
        <v>0-2 hrs</v>
      </c>
      <c r="I162" s="8" t="str">
        <f>IF(B162&lt;=12,"&lt;=12", IF(B162&lt;=14,"13-14", IF(B162&lt;=16,"15-16","17+")))</f>
        <v>15-16</v>
      </c>
      <c r="J162" t="str">
        <f t="shared" si="16"/>
        <v>6-8 hrs</v>
      </c>
    </row>
    <row r="163" spans="1:10">
      <c r="A163" s="6">
        <v>162</v>
      </c>
      <c r="B163" s="2">
        <v>13</v>
      </c>
      <c r="C163" s="7">
        <v>1.2</v>
      </c>
      <c r="D163" s="7">
        <v>3.7</v>
      </c>
      <c r="E163" s="7">
        <v>67.8</v>
      </c>
      <c r="F163" s="7">
        <v>1.5</v>
      </c>
      <c r="G163" s="8" t="str">
        <f t="shared" si="13"/>
        <v>2-D64</v>
      </c>
      <c r="H163" s="6" t="str">
        <f t="shared" si="15"/>
        <v>0-2 hrs</v>
      </c>
      <c r="I163" s="8" t="str">
        <f>IF(B163&lt;=12,"&lt;=12", IF(B163&lt;=14,"13-14", IF(B163&lt;=16,"15-16","17+")))</f>
        <v>13-14</v>
      </c>
      <c r="J163" t="str">
        <f t="shared" si="16"/>
        <v>2-4 hrs</v>
      </c>
    </row>
    <row r="164" spans="1:10">
      <c r="A164" s="6">
        <v>163</v>
      </c>
      <c r="B164" s="2">
        <v>17</v>
      </c>
      <c r="C164" s="7">
        <v>2.6</v>
      </c>
      <c r="D164" s="7">
        <v>2.2000000000000002</v>
      </c>
      <c r="E164" s="7">
        <v>61.7</v>
      </c>
      <c r="F164" s="7">
        <v>1.9</v>
      </c>
      <c r="G164" s="8" t="str">
        <f t="shared" si="13"/>
        <v>2-D64</v>
      </c>
      <c r="H164" s="6" t="str">
        <f t="shared" si="15"/>
        <v>3-4 hrs</v>
      </c>
      <c r="I164" s="8" t="str">
        <f>IF(B164&lt;=12,"&lt;=12", IF(B164&lt;=14,"13-14", IF(B164&lt;=16,"15-16","17+")))</f>
        <v>17+</v>
      </c>
      <c r="J164" t="str">
        <f t="shared" si="16"/>
        <v>2-4 hrs</v>
      </c>
    </row>
    <row r="165" spans="1:10">
      <c r="A165" s="6">
        <v>164</v>
      </c>
      <c r="B165" s="2">
        <v>13</v>
      </c>
      <c r="C165" s="7">
        <v>2.1</v>
      </c>
      <c r="D165" s="7">
        <v>4.0999999999999996</v>
      </c>
      <c r="E165" s="7">
        <v>79.2</v>
      </c>
      <c r="F165" s="7">
        <v>1.3</v>
      </c>
      <c r="G165" s="8" t="str">
        <f t="shared" si="13"/>
        <v>&gt;4</v>
      </c>
      <c r="H165" s="6" t="str">
        <f t="shared" si="15"/>
        <v>3-4 hrs</v>
      </c>
      <c r="I165" s="8" t="str">
        <f>IF(B165&lt;=12,"&lt;=12", IF(B165&lt;=14,"13-14", IF(B165&lt;=16,"15-16","17+")))</f>
        <v>13-14</v>
      </c>
      <c r="J165" t="str">
        <f t="shared" si="16"/>
        <v>4-6 hrs</v>
      </c>
    </row>
    <row r="166" spans="1:10">
      <c r="A166" s="6">
        <v>165</v>
      </c>
      <c r="B166" s="2">
        <v>15</v>
      </c>
      <c r="C166" s="7">
        <v>3.7</v>
      </c>
      <c r="D166" s="7">
        <v>4.3</v>
      </c>
      <c r="E166" s="7">
        <v>70.599999999999994</v>
      </c>
      <c r="F166" s="7">
        <v>0.8</v>
      </c>
      <c r="G166" s="8" t="str">
        <f t="shared" si="13"/>
        <v>&gt;4</v>
      </c>
      <c r="H166" s="6" t="str">
        <f t="shared" si="15"/>
        <v>3-4 hrs</v>
      </c>
      <c r="I166" s="8" t="str">
        <f>IF(B166&lt;=12,"&lt;=12", IF(B166&lt;=14,"13-14", IF(B166&lt;=16,"15-16","17+")))</f>
        <v>15-16</v>
      </c>
      <c r="J166" t="str">
        <f t="shared" si="16"/>
        <v>4-6 hrs</v>
      </c>
    </row>
    <row r="167" spans="1:10">
      <c r="A167" s="6">
        <v>166</v>
      </c>
      <c r="B167" s="2">
        <v>14</v>
      </c>
      <c r="C167" s="7">
        <v>1.2</v>
      </c>
      <c r="D167" s="7">
        <v>4.0999999999999996</v>
      </c>
      <c r="E167" s="7">
        <v>79.5</v>
      </c>
      <c r="F167" s="7">
        <v>2.2999999999999998</v>
      </c>
      <c r="G167" s="8" t="str">
        <f t="shared" si="13"/>
        <v>&gt;4</v>
      </c>
      <c r="H167" s="6" t="str">
        <f>IF(C167&lt;=2,"0-2 hrs", IF(C167&lt;=4,"3-4 hrs", IF(C167&lt;=6,"5-6 hrs","7+ hrs")))</f>
        <v>0-2 hrs</v>
      </c>
      <c r="I167" s="8" t="str">
        <f>IF(B167&lt;=12,"&lt;=12", IF(B167&lt;=14,"13-14", IF(B167&lt;=16,"15-16","17+")))</f>
        <v>13-14</v>
      </c>
      <c r="J167" t="str">
        <f t="shared" si="16"/>
        <v>4-6 hrs</v>
      </c>
    </row>
    <row r="168" spans="1:10">
      <c r="A168" s="6">
        <v>167</v>
      </c>
      <c r="B168" s="2">
        <v>16</v>
      </c>
      <c r="C168" s="7">
        <v>4.0999999999999996</v>
      </c>
      <c r="D168" s="7">
        <v>5.2</v>
      </c>
      <c r="E168" s="7">
        <v>82.2</v>
      </c>
      <c r="F168" s="7">
        <v>1.3</v>
      </c>
      <c r="G168" s="8" t="str">
        <f t="shared" si="13"/>
        <v>&gt;4</v>
      </c>
      <c r="H168" s="6" t="str">
        <f t="shared" ref="H168:H188" si="17">IF(C168&lt;=2,"0-2 hrs", IF(C168&lt;=4,"3-4 hrs", IF(C168&lt;=6,"5-6 hrs","7+ hrs")))</f>
        <v>5-6 hrs</v>
      </c>
      <c r="I168" s="8" t="str">
        <f>IF(B168&lt;=12,"&lt;=12", IF(B168&lt;=14,"13-14", IF(B168&lt;=16,"15-16","17+")))</f>
        <v>15-16</v>
      </c>
      <c r="J168" t="str">
        <f t="shared" si="16"/>
        <v>4-6 hrs</v>
      </c>
    </row>
    <row r="169" spans="1:10">
      <c r="A169" s="6">
        <v>168</v>
      </c>
      <c r="B169" s="2">
        <v>15</v>
      </c>
      <c r="C169" s="7">
        <v>1.5</v>
      </c>
      <c r="D169" s="7">
        <v>4.0999999999999996</v>
      </c>
      <c r="E169" s="7">
        <v>48.3</v>
      </c>
      <c r="F169" s="7">
        <v>1.6</v>
      </c>
      <c r="G169" s="8" t="str">
        <f t="shared" si="13"/>
        <v>&gt;4</v>
      </c>
      <c r="H169" s="6" t="str">
        <f t="shared" si="17"/>
        <v>0-2 hrs</v>
      </c>
      <c r="I169" s="8" t="str">
        <f>IF(B169&lt;=12,"&lt;=12", IF(B169&lt;=14,"13-14", IF(B169&lt;=16,"15-16","17+")))</f>
        <v>15-16</v>
      </c>
      <c r="J169" t="str">
        <f t="shared" si="16"/>
        <v>4-6 hrs</v>
      </c>
    </row>
    <row r="170" spans="1:10">
      <c r="A170" s="6">
        <v>169</v>
      </c>
      <c r="B170" s="2">
        <v>13</v>
      </c>
      <c r="C170" s="7">
        <v>1.3</v>
      </c>
      <c r="D170" s="7">
        <v>5.2</v>
      </c>
      <c r="E170" s="7">
        <v>62.3</v>
      </c>
      <c r="F170" s="7">
        <v>1.9</v>
      </c>
      <c r="G170" s="8" t="str">
        <f t="shared" si="13"/>
        <v>&gt;4</v>
      </c>
      <c r="H170" s="6" t="str">
        <f t="shared" si="17"/>
        <v>0-2 hrs</v>
      </c>
      <c r="I170" s="8" t="str">
        <f>IF(B170&lt;=12,"&lt;=12", IF(B170&lt;=14,"13-14", IF(B170&lt;=16,"15-16","17+")))</f>
        <v>13-14</v>
      </c>
      <c r="J170" t="str">
        <f t="shared" si="16"/>
        <v>4-6 hrs</v>
      </c>
    </row>
    <row r="171" spans="1:10">
      <c r="A171" s="6">
        <v>170</v>
      </c>
      <c r="B171" s="2">
        <v>16</v>
      </c>
      <c r="C171" s="7">
        <v>1.7</v>
      </c>
      <c r="D171" s="7">
        <v>2.8</v>
      </c>
      <c r="E171" s="7">
        <v>63.8</v>
      </c>
      <c r="F171" s="7">
        <v>1.5</v>
      </c>
      <c r="G171" s="8" t="str">
        <f t="shared" si="13"/>
        <v>2-D64</v>
      </c>
      <c r="H171" s="6" t="str">
        <f t="shared" si="17"/>
        <v>0-2 hrs</v>
      </c>
      <c r="I171" s="8" t="str">
        <f>IF(B171&lt;=12,"&lt;=12", IF(B171&lt;=14,"13-14", IF(B171&lt;=16,"15-16","17+")))</f>
        <v>15-16</v>
      </c>
      <c r="J171" t="str">
        <f t="shared" si="16"/>
        <v>2-4 hrs</v>
      </c>
    </row>
    <row r="172" spans="1:10">
      <c r="A172" s="6">
        <v>171</v>
      </c>
      <c r="B172" s="2">
        <v>13</v>
      </c>
      <c r="C172" s="7">
        <v>4.5</v>
      </c>
      <c r="D172" s="7">
        <v>0</v>
      </c>
      <c r="E172" s="7">
        <v>95.7</v>
      </c>
      <c r="F172" s="7">
        <v>1.5</v>
      </c>
      <c r="G172" s="8" t="str">
        <f t="shared" si="13"/>
        <v>0-2</v>
      </c>
      <c r="H172" s="6" t="str">
        <f t="shared" si="17"/>
        <v>5-6 hrs</v>
      </c>
      <c r="I172" s="8" t="str">
        <f>IF(B172&lt;=12,"&lt;=12", IF(B172&lt;=14,"13-14", IF(B172&lt;=16,"15-16","17+")))</f>
        <v>13-14</v>
      </c>
      <c r="J172" t="str">
        <f t="shared" si="16"/>
        <v>0-2 hrs</v>
      </c>
    </row>
    <row r="173" spans="1:10">
      <c r="A173" s="6">
        <v>172</v>
      </c>
      <c r="B173" s="2">
        <v>13</v>
      </c>
      <c r="C173" s="7">
        <v>2.5</v>
      </c>
      <c r="D173" s="7">
        <v>4.4000000000000004</v>
      </c>
      <c r="E173" s="7">
        <v>71.5</v>
      </c>
      <c r="F173" s="7">
        <v>2.2999999999999998</v>
      </c>
      <c r="G173" s="8" t="str">
        <f t="shared" si="13"/>
        <v>&gt;4</v>
      </c>
      <c r="H173" s="6" t="str">
        <f t="shared" si="17"/>
        <v>3-4 hrs</v>
      </c>
      <c r="I173" s="8" t="str">
        <f>IF(B173&lt;=12,"&lt;=12", IF(B173&lt;=14,"13-14", IF(B173&lt;=16,"15-16","17+")))</f>
        <v>13-14</v>
      </c>
      <c r="J173" t="str">
        <f t="shared" si="16"/>
        <v>4-6 hrs</v>
      </c>
    </row>
    <row r="174" spans="1:10">
      <c r="A174" s="6">
        <v>173</v>
      </c>
      <c r="B174" s="2">
        <v>14</v>
      </c>
      <c r="C174" s="7">
        <v>3</v>
      </c>
      <c r="D174" s="7">
        <v>4.5999999999999996</v>
      </c>
      <c r="E174" s="7">
        <v>0</v>
      </c>
      <c r="F174" s="7">
        <v>1.6</v>
      </c>
      <c r="G174" s="8" t="str">
        <f t="shared" si="13"/>
        <v>&gt;4</v>
      </c>
      <c r="H174" s="6" t="str">
        <f t="shared" si="17"/>
        <v>3-4 hrs</v>
      </c>
      <c r="I174" s="8" t="str">
        <f>IF(B174&lt;=12,"&lt;=12", IF(B174&lt;=14,"13-14", IF(B174&lt;=16,"15-16","17+")))</f>
        <v>13-14</v>
      </c>
      <c r="J174" t="str">
        <f t="shared" si="16"/>
        <v>4-6 hrs</v>
      </c>
    </row>
    <row r="175" spans="1:10">
      <c r="A175" s="6">
        <v>174</v>
      </c>
      <c r="B175" s="2">
        <v>16</v>
      </c>
      <c r="C175" s="7">
        <v>2.2999999999999998</v>
      </c>
      <c r="D175" s="7">
        <v>2.8</v>
      </c>
      <c r="E175" s="7">
        <v>51.2</v>
      </c>
      <c r="F175" s="7">
        <v>2.2000000000000002</v>
      </c>
      <c r="G175" s="8" t="str">
        <f t="shared" si="13"/>
        <v>2-D64</v>
      </c>
      <c r="H175" s="6" t="str">
        <f t="shared" si="17"/>
        <v>3-4 hrs</v>
      </c>
      <c r="I175" s="8" t="str">
        <f>IF(B175&lt;=12,"&lt;=12", IF(B175&lt;=14,"13-14", IF(B175&lt;=16,"15-16","17+")))</f>
        <v>15-16</v>
      </c>
      <c r="J175" t="str">
        <f t="shared" si="16"/>
        <v>2-4 hrs</v>
      </c>
    </row>
    <row r="176" spans="1:10">
      <c r="A176" s="6">
        <v>175</v>
      </c>
      <c r="B176" s="2">
        <v>16</v>
      </c>
      <c r="C176" s="7">
        <v>2.4</v>
      </c>
      <c r="D176" s="7">
        <v>4.7</v>
      </c>
      <c r="E176" s="7">
        <v>71.400000000000006</v>
      </c>
      <c r="F176" s="7">
        <v>1.9</v>
      </c>
      <c r="G176" s="8" t="str">
        <f t="shared" si="13"/>
        <v>&gt;4</v>
      </c>
      <c r="H176" s="6" t="str">
        <f t="shared" si="17"/>
        <v>3-4 hrs</v>
      </c>
      <c r="I176" s="8" t="str">
        <f>IF(B176&lt;=12,"&lt;=12", IF(B176&lt;=14,"13-14", IF(B176&lt;=16,"15-16","17+")))</f>
        <v>15-16</v>
      </c>
      <c r="J176" t="str">
        <f t="shared" si="16"/>
        <v>4-6 hrs</v>
      </c>
    </row>
    <row r="177" spans="1:10">
      <c r="A177" s="6">
        <v>176</v>
      </c>
      <c r="B177" s="2">
        <v>14</v>
      </c>
      <c r="C177" s="7">
        <v>2</v>
      </c>
      <c r="D177" s="7">
        <v>5</v>
      </c>
      <c r="E177" s="7">
        <v>79.8</v>
      </c>
      <c r="F177" s="7">
        <v>3.1</v>
      </c>
      <c r="G177" s="8" t="str">
        <f t="shared" si="13"/>
        <v>&gt;4</v>
      </c>
      <c r="H177" s="6" t="str">
        <f t="shared" si="17"/>
        <v>0-2 hrs</v>
      </c>
      <c r="I177" s="8" t="str">
        <f>IF(B177&lt;=12,"&lt;=12", IF(B177&lt;=14,"13-14", IF(B177&lt;=16,"15-16","17+")))</f>
        <v>13-14</v>
      </c>
      <c r="J177" t="str">
        <f t="shared" si="16"/>
        <v>4-6 hrs</v>
      </c>
    </row>
    <row r="178" spans="1:10">
      <c r="A178" s="6">
        <v>177</v>
      </c>
      <c r="B178" s="2">
        <v>15</v>
      </c>
      <c r="C178" s="7">
        <v>2.6</v>
      </c>
      <c r="D178" s="7">
        <v>2.2000000000000002</v>
      </c>
      <c r="E178" s="7">
        <v>78.599999999999994</v>
      </c>
      <c r="F178" s="7">
        <v>1.8</v>
      </c>
      <c r="G178" s="8" t="str">
        <f t="shared" si="13"/>
        <v>2-D64</v>
      </c>
      <c r="H178" s="6" t="str">
        <f t="shared" si="17"/>
        <v>3-4 hrs</v>
      </c>
      <c r="I178" s="8" t="str">
        <f>IF(B178&lt;=12,"&lt;=12", IF(B178&lt;=14,"13-14", IF(B178&lt;=16,"15-16","17+")))</f>
        <v>15-16</v>
      </c>
      <c r="J178" t="str">
        <f t="shared" si="16"/>
        <v>2-4 hrs</v>
      </c>
    </row>
    <row r="179" spans="1:10">
      <c r="A179" s="6">
        <v>178</v>
      </c>
      <c r="B179" s="2">
        <v>13</v>
      </c>
      <c r="C179" s="7">
        <v>3</v>
      </c>
      <c r="D179" s="7">
        <v>1.5</v>
      </c>
      <c r="E179" s="7">
        <v>76.2</v>
      </c>
      <c r="F179" s="7">
        <v>2</v>
      </c>
      <c r="G179" s="8" t="str">
        <f t="shared" si="13"/>
        <v>0-2</v>
      </c>
      <c r="H179" s="6" t="str">
        <f t="shared" si="17"/>
        <v>3-4 hrs</v>
      </c>
      <c r="I179" s="8" t="str">
        <f>IF(B179&lt;=12,"&lt;=12", IF(B179&lt;=14,"13-14", IF(B179&lt;=16,"15-16","17+")))</f>
        <v>13-14</v>
      </c>
      <c r="J179" t="str">
        <f t="shared" si="16"/>
        <v>0-2 hrs</v>
      </c>
    </row>
    <row r="180" spans="1:10">
      <c r="A180" s="6">
        <v>179</v>
      </c>
      <c r="B180" s="2">
        <v>17</v>
      </c>
      <c r="C180" s="7">
        <v>4.2</v>
      </c>
      <c r="D180" s="7">
        <v>4.4000000000000004</v>
      </c>
      <c r="E180" s="7">
        <v>70.099999999999994</v>
      </c>
      <c r="F180" s="7">
        <v>2.4</v>
      </c>
      <c r="G180" s="8" t="str">
        <f t="shared" si="13"/>
        <v>&gt;4</v>
      </c>
      <c r="H180" s="6" t="str">
        <f t="shared" si="17"/>
        <v>5-6 hrs</v>
      </c>
      <c r="I180" s="8" t="str">
        <f>IF(B180&lt;=12,"&lt;=12", IF(B180&lt;=14,"13-14", IF(B180&lt;=16,"15-16","17+")))</f>
        <v>17+</v>
      </c>
      <c r="J180" t="str">
        <f t="shared" si="16"/>
        <v>4-6 hrs</v>
      </c>
    </row>
    <row r="181" spans="1:10">
      <c r="A181" s="6">
        <v>180</v>
      </c>
      <c r="B181" s="2">
        <v>13</v>
      </c>
      <c r="C181" s="7">
        <v>0.6</v>
      </c>
      <c r="D181" s="7">
        <v>3.3</v>
      </c>
      <c r="E181" s="7">
        <v>70.599999999999994</v>
      </c>
      <c r="F181" s="7">
        <v>1.6</v>
      </c>
      <c r="G181" s="8" t="str">
        <f t="shared" si="13"/>
        <v>2-D64</v>
      </c>
      <c r="H181" s="6" t="str">
        <f t="shared" si="17"/>
        <v>0-2 hrs</v>
      </c>
      <c r="I181" s="8" t="str">
        <f>IF(B181&lt;=12,"&lt;=12", IF(B181&lt;=14,"13-14", IF(B181&lt;=16,"15-16","17+")))</f>
        <v>13-14</v>
      </c>
      <c r="J181" t="str">
        <f>IF(D181&lt;=2,"0-2 hrs", IF(D181&lt;=4,"2-4 hrs", IF(D181&lt;=6,"4-6 hrs", IF(D181&lt;=8,"6-8 hrs","8-10 hrs"))))</f>
        <v>2-4 hrs</v>
      </c>
    </row>
    <row r="182" spans="1:10">
      <c r="A182" s="6">
        <v>181</v>
      </c>
      <c r="B182" s="2">
        <v>13</v>
      </c>
      <c r="C182" s="7">
        <v>4.0999999999999996</v>
      </c>
      <c r="D182" s="7">
        <v>4.4000000000000004</v>
      </c>
      <c r="E182" s="7">
        <v>53.1</v>
      </c>
      <c r="F182" s="7">
        <v>1</v>
      </c>
      <c r="G182" s="8" t="str">
        <f t="shared" si="13"/>
        <v>&gt;4</v>
      </c>
      <c r="H182" s="6" t="str">
        <f t="shared" si="17"/>
        <v>5-6 hrs</v>
      </c>
      <c r="I182" s="8" t="str">
        <f>IF(B182&lt;=12,"&lt;=12", IF(B182&lt;=14,"13-14", IF(B182&lt;=16,"15-16","17+")))</f>
        <v>13-14</v>
      </c>
      <c r="J182" t="str">
        <f t="shared" ref="J182:J195" si="18">IF(D182&lt;=2,"0-2 hrs", IF(D182&lt;=4,"2-4 hrs", IF(D182&lt;=6,"4-6 hrs", IF(D182&lt;=8,"6-8 hrs","8-10 hrs"))))</f>
        <v>4-6 hrs</v>
      </c>
    </row>
    <row r="183" spans="1:10">
      <c r="A183" s="6">
        <v>182</v>
      </c>
      <c r="B183" s="2">
        <v>15</v>
      </c>
      <c r="C183" s="7">
        <v>3</v>
      </c>
      <c r="D183" s="7">
        <v>2.1</v>
      </c>
      <c r="E183" s="7">
        <v>61</v>
      </c>
      <c r="F183" s="7">
        <v>1.1000000000000001</v>
      </c>
      <c r="G183" s="8" t="str">
        <f t="shared" si="13"/>
        <v>2-D64</v>
      </c>
      <c r="H183" s="6" t="str">
        <f t="shared" si="17"/>
        <v>3-4 hrs</v>
      </c>
      <c r="I183" s="8" t="str">
        <f>IF(B183&lt;=12,"&lt;=12", IF(B183&lt;=14,"13-14", IF(B183&lt;=16,"15-16","17+")))</f>
        <v>15-16</v>
      </c>
      <c r="J183" t="str">
        <f t="shared" si="18"/>
        <v>2-4 hrs</v>
      </c>
    </row>
    <row r="184" spans="1:10">
      <c r="A184" s="6">
        <v>183</v>
      </c>
      <c r="B184" s="2">
        <v>13</v>
      </c>
      <c r="C184" s="7">
        <v>2.1</v>
      </c>
      <c r="D184" s="7">
        <v>1.7</v>
      </c>
      <c r="E184" s="7">
        <v>72.3</v>
      </c>
      <c r="F184" s="7">
        <v>1.1000000000000001</v>
      </c>
      <c r="G184" s="8" t="str">
        <f t="shared" si="13"/>
        <v>0-2</v>
      </c>
      <c r="H184" s="6" t="str">
        <f t="shared" si="17"/>
        <v>3-4 hrs</v>
      </c>
      <c r="I184" s="8" t="str">
        <f>IF(B184&lt;=12,"&lt;=12", IF(B184&lt;=14,"13-14", IF(B184&lt;=16,"15-16","17+")))</f>
        <v>13-14</v>
      </c>
      <c r="J184" t="str">
        <f t="shared" si="18"/>
        <v>0-2 hrs</v>
      </c>
    </row>
    <row r="185" spans="1:10">
      <c r="A185" s="6">
        <v>184</v>
      </c>
      <c r="B185" s="2">
        <v>14</v>
      </c>
      <c r="C185" s="7">
        <v>2</v>
      </c>
      <c r="D185" s="7">
        <v>4.3</v>
      </c>
      <c r="E185" s="7">
        <v>62.8</v>
      </c>
      <c r="F185" s="7">
        <v>0.7</v>
      </c>
      <c r="G185" s="8" t="str">
        <f t="shared" si="13"/>
        <v>&gt;4</v>
      </c>
      <c r="H185" s="6" t="str">
        <f t="shared" si="17"/>
        <v>0-2 hrs</v>
      </c>
      <c r="I185" s="8" t="str">
        <f>IF(B185&lt;=12,"&lt;=12", IF(B185&lt;=14,"13-14", IF(B185&lt;=16,"15-16","17+")))</f>
        <v>13-14</v>
      </c>
      <c r="J185" t="str">
        <f t="shared" si="18"/>
        <v>4-6 hrs</v>
      </c>
    </row>
    <row r="186" spans="1:10">
      <c r="A186" s="6">
        <v>185</v>
      </c>
      <c r="B186" s="2">
        <v>14</v>
      </c>
      <c r="C186" s="7">
        <v>3.5</v>
      </c>
      <c r="D186" s="7">
        <v>3.5</v>
      </c>
      <c r="E186" s="7">
        <v>76.900000000000006</v>
      </c>
      <c r="F186" s="7">
        <v>1.8</v>
      </c>
      <c r="G186" s="8" t="str">
        <f t="shared" si="13"/>
        <v>2-D64</v>
      </c>
      <c r="H186" s="6" t="str">
        <f t="shared" si="17"/>
        <v>3-4 hrs</v>
      </c>
      <c r="I186" s="8" t="str">
        <f>IF(B186&lt;=12,"&lt;=12", IF(B186&lt;=14,"13-14", IF(B186&lt;=16,"15-16","17+")))</f>
        <v>13-14</v>
      </c>
      <c r="J186" t="str">
        <f t="shared" si="18"/>
        <v>2-4 hrs</v>
      </c>
    </row>
    <row r="187" spans="1:10">
      <c r="A187" s="6">
        <v>186</v>
      </c>
      <c r="B187" s="2">
        <v>16</v>
      </c>
      <c r="C187" s="7">
        <v>2.7</v>
      </c>
      <c r="D187" s="7">
        <v>0</v>
      </c>
      <c r="E187" s="7">
        <v>74.7</v>
      </c>
      <c r="F187" s="7">
        <v>1</v>
      </c>
      <c r="G187" s="8" t="str">
        <f t="shared" si="13"/>
        <v>0-2</v>
      </c>
      <c r="H187" s="6" t="str">
        <f t="shared" si="17"/>
        <v>3-4 hrs</v>
      </c>
      <c r="I187" s="8" t="str">
        <f>IF(B187&lt;=12,"&lt;=12", IF(B187&lt;=14,"13-14", IF(B187&lt;=16,"15-16","17+")))</f>
        <v>15-16</v>
      </c>
      <c r="J187" t="str">
        <f t="shared" si="18"/>
        <v>0-2 hrs</v>
      </c>
    </row>
    <row r="188" spans="1:10">
      <c r="A188" s="6">
        <v>187</v>
      </c>
      <c r="B188" s="2">
        <v>17</v>
      </c>
      <c r="C188" s="7">
        <v>1</v>
      </c>
      <c r="D188" s="7">
        <v>6</v>
      </c>
      <c r="E188" s="7">
        <v>83.7</v>
      </c>
      <c r="F188" s="7">
        <v>1.7</v>
      </c>
      <c r="G188" s="8" t="str">
        <f t="shared" si="13"/>
        <v>&gt;4</v>
      </c>
      <c r="H188" s="6" t="str">
        <f t="shared" si="17"/>
        <v>0-2 hrs</v>
      </c>
      <c r="I188" s="8" t="str">
        <f>IF(B188&lt;=12,"&lt;=12", IF(B188&lt;=14,"13-14", IF(B188&lt;=16,"15-16","17+")))</f>
        <v>17+</v>
      </c>
      <c r="J188" t="str">
        <f t="shared" si="18"/>
        <v>4-6 hrs</v>
      </c>
    </row>
    <row r="189" spans="1:10">
      <c r="A189" s="6">
        <v>188</v>
      </c>
      <c r="B189" s="2">
        <v>13</v>
      </c>
      <c r="C189" s="7">
        <v>2.9</v>
      </c>
      <c r="D189" s="7">
        <v>2</v>
      </c>
      <c r="E189" s="7">
        <v>79.599999999999994</v>
      </c>
      <c r="F189" s="7">
        <v>1.4</v>
      </c>
      <c r="G189" s="8" t="str">
        <f t="shared" si="13"/>
        <v>0-2</v>
      </c>
      <c r="H189" s="6" t="str">
        <f>IF(C189&lt;=2,"0-2 hrs", IF(C189&lt;=4,"3-4 hrs", IF(C189&lt;=6,"5-6 hrs","7+ hrs")))</f>
        <v>3-4 hrs</v>
      </c>
      <c r="I189" s="8" t="str">
        <f>IF(B189&lt;=12,"&lt;=12", IF(B189&lt;=14,"13-14", IF(B189&lt;=16,"15-16","17+")))</f>
        <v>13-14</v>
      </c>
      <c r="J189" t="str">
        <f t="shared" si="18"/>
        <v>0-2 hrs</v>
      </c>
    </row>
    <row r="190" spans="1:10">
      <c r="A190" s="6">
        <v>189</v>
      </c>
      <c r="B190" s="2">
        <v>13</v>
      </c>
      <c r="C190" s="7">
        <v>3.6</v>
      </c>
      <c r="D190" s="7">
        <v>7.9</v>
      </c>
      <c r="E190" s="7">
        <v>72.3</v>
      </c>
      <c r="F190" s="7">
        <v>1.5</v>
      </c>
      <c r="G190" s="8" t="str">
        <f t="shared" si="13"/>
        <v>&gt;4</v>
      </c>
      <c r="H190" s="6" t="str">
        <f t="shared" ref="H190:H201" si="19">IF(C190&lt;=2,"0-2 hrs", IF(C190&lt;=4,"3-4 hrs", IF(C190&lt;=6,"5-6 hrs","7+ hrs")))</f>
        <v>3-4 hrs</v>
      </c>
      <c r="I190" s="8" t="str">
        <f>IF(B190&lt;=12,"&lt;=12", IF(B190&lt;=14,"13-14", IF(B190&lt;=16,"15-16","17+")))</f>
        <v>13-14</v>
      </c>
      <c r="J190" t="str">
        <f t="shared" si="18"/>
        <v>6-8 hrs</v>
      </c>
    </row>
    <row r="191" spans="1:10">
      <c r="A191" s="6">
        <v>190</v>
      </c>
      <c r="B191" s="2">
        <v>15</v>
      </c>
      <c r="C191" s="7">
        <v>3.4</v>
      </c>
      <c r="D191" s="7">
        <v>3.1</v>
      </c>
      <c r="E191" s="7">
        <v>77.5</v>
      </c>
      <c r="F191" s="7">
        <v>1.9</v>
      </c>
      <c r="G191" s="8" t="str">
        <f t="shared" si="13"/>
        <v>2-D64</v>
      </c>
      <c r="H191" s="6" t="str">
        <f t="shared" si="19"/>
        <v>3-4 hrs</v>
      </c>
      <c r="I191" s="8" t="str">
        <f>IF(B191&lt;=12,"&lt;=12", IF(B191&lt;=14,"13-14", IF(B191&lt;=16,"15-16","17+")))</f>
        <v>15-16</v>
      </c>
      <c r="J191" t="str">
        <f t="shared" si="18"/>
        <v>2-4 hrs</v>
      </c>
    </row>
    <row r="192" spans="1:10">
      <c r="A192" s="6">
        <v>191</v>
      </c>
      <c r="B192" s="2">
        <v>14</v>
      </c>
      <c r="C192" s="7">
        <v>1.9</v>
      </c>
      <c r="D192" s="7">
        <v>4.5999999999999996</v>
      </c>
      <c r="E192" s="7">
        <v>80.099999999999994</v>
      </c>
      <c r="F192" s="7">
        <v>1.1000000000000001</v>
      </c>
      <c r="G192" s="8" t="str">
        <f t="shared" si="13"/>
        <v>&gt;4</v>
      </c>
      <c r="H192" s="6" t="str">
        <f t="shared" si="19"/>
        <v>0-2 hrs</v>
      </c>
      <c r="I192" s="8" t="str">
        <f>IF(B192&lt;=12,"&lt;=12", IF(B192&lt;=14,"13-14", IF(B192&lt;=16,"15-16","17+")))</f>
        <v>13-14</v>
      </c>
      <c r="J192" t="str">
        <f t="shared" si="18"/>
        <v>4-6 hrs</v>
      </c>
    </row>
    <row r="193" spans="1:10">
      <c r="A193" s="6">
        <v>192</v>
      </c>
      <c r="B193" s="2">
        <v>17</v>
      </c>
      <c r="C193" s="7">
        <v>1.2</v>
      </c>
      <c r="D193" s="7">
        <v>6.5</v>
      </c>
      <c r="E193" s="7">
        <v>64.900000000000006</v>
      </c>
      <c r="F193" s="7">
        <v>2</v>
      </c>
      <c r="G193" s="8" t="str">
        <f t="shared" si="13"/>
        <v>&gt;4</v>
      </c>
      <c r="H193" s="6" t="str">
        <f t="shared" si="19"/>
        <v>0-2 hrs</v>
      </c>
      <c r="I193" s="8" t="str">
        <f>IF(B193&lt;=12,"&lt;=12", IF(B193&lt;=14,"13-14", IF(B193&lt;=16,"15-16","17+")))</f>
        <v>17+</v>
      </c>
      <c r="J193" t="str">
        <f t="shared" si="18"/>
        <v>6-8 hrs</v>
      </c>
    </row>
    <row r="194" spans="1:10">
      <c r="A194" s="6">
        <v>193</v>
      </c>
      <c r="B194" s="2">
        <v>16</v>
      </c>
      <c r="C194" s="7">
        <v>2.2000000000000002</v>
      </c>
      <c r="D194" s="7">
        <v>6.2</v>
      </c>
      <c r="E194" s="7">
        <v>66.7</v>
      </c>
      <c r="F194" s="7">
        <v>2.8</v>
      </c>
      <c r="G194" s="8" t="str">
        <f t="shared" si="13"/>
        <v>&gt;4</v>
      </c>
      <c r="H194" s="6" t="str">
        <f t="shared" si="19"/>
        <v>3-4 hrs</v>
      </c>
      <c r="I194" s="8" t="str">
        <f>IF(B194&lt;=12,"&lt;=12", IF(B194&lt;=14,"13-14", IF(B194&lt;=16,"15-16","17+")))</f>
        <v>15-16</v>
      </c>
      <c r="J194" t="str">
        <f t="shared" si="18"/>
        <v>6-8 hrs</v>
      </c>
    </row>
    <row r="195" spans="1:10">
      <c r="A195" s="6">
        <v>194</v>
      </c>
      <c r="B195" s="2">
        <v>14</v>
      </c>
      <c r="C195" s="7">
        <v>5.8</v>
      </c>
      <c r="D195" s="7">
        <v>7</v>
      </c>
      <c r="E195" s="7">
        <v>69</v>
      </c>
      <c r="F195" s="7">
        <v>1.8</v>
      </c>
      <c r="G195" s="8" t="str">
        <f t="shared" ref="G195:G201" si="20">IF(D195&lt;=2,"0-2",IF(D195&lt;=4,"2-D64","&gt;4"))</f>
        <v>&gt;4</v>
      </c>
      <c r="H195" s="6" t="str">
        <f t="shared" si="19"/>
        <v>5-6 hrs</v>
      </c>
      <c r="I195" s="8" t="str">
        <f>IF(B195&lt;=12,"&lt;=12", IF(B195&lt;=14,"13-14", IF(B195&lt;=16,"15-16","17+")))</f>
        <v>13-14</v>
      </c>
      <c r="J195" t="str">
        <f t="shared" si="18"/>
        <v>6-8 hrs</v>
      </c>
    </row>
    <row r="196" spans="1:10">
      <c r="A196" s="6">
        <v>195</v>
      </c>
      <c r="B196" s="2">
        <v>16</v>
      </c>
      <c r="C196" s="7">
        <v>1</v>
      </c>
      <c r="D196" s="7">
        <v>1.7</v>
      </c>
      <c r="E196" s="7">
        <v>65.2</v>
      </c>
      <c r="F196" s="7">
        <v>0.9</v>
      </c>
      <c r="G196" s="8" t="str">
        <f t="shared" si="20"/>
        <v>0-2</v>
      </c>
      <c r="H196" s="6" t="str">
        <f t="shared" si="19"/>
        <v>0-2 hrs</v>
      </c>
      <c r="I196" s="8" t="str">
        <f>IF(B196&lt;=12,"&lt;=12", IF(B196&lt;=14,"13-14", IF(B196&lt;=16,"15-16","17+")))</f>
        <v>15-16</v>
      </c>
      <c r="J196" t="str">
        <f>IF(D196&lt;=2,"0-2 hrs", IF(D196&lt;=4,"2-4 hrs", IF(D196&lt;=6,"4-6 hrs", IF(D196&lt;=8,"6-8 hrs","8-10 hrs"))))</f>
        <v>0-2 hrs</v>
      </c>
    </row>
    <row r="197" spans="1:10">
      <c r="A197" s="6">
        <v>196</v>
      </c>
      <c r="B197" s="2">
        <v>15</v>
      </c>
      <c r="C197" s="7">
        <v>1.7</v>
      </c>
      <c r="D197" s="7">
        <v>2.2999999999999998</v>
      </c>
      <c r="E197" s="7">
        <v>80.2</v>
      </c>
      <c r="F197" s="7">
        <v>1</v>
      </c>
      <c r="G197" s="8" t="str">
        <f t="shared" si="20"/>
        <v>2-D64</v>
      </c>
      <c r="H197" s="6" t="str">
        <f t="shared" si="19"/>
        <v>0-2 hrs</v>
      </c>
      <c r="I197" s="8" t="str">
        <f>IF(B197&lt;=12,"&lt;=12", IF(B197&lt;=14,"13-14", IF(B197&lt;=16,"15-16","17+")))</f>
        <v>15-16</v>
      </c>
      <c r="J197" t="str">
        <f t="shared" ref="J197:J201" si="21">IF(D197&lt;=2,"0-2 hrs", IF(D197&lt;=4,"2-4 hrs", IF(D197&lt;=6,"4-6 hrs", IF(D197&lt;=8,"6-8 hrs","8-10 hrs"))))</f>
        <v>2-4 hrs</v>
      </c>
    </row>
    <row r="198" spans="1:10">
      <c r="A198" s="6">
        <v>197</v>
      </c>
      <c r="B198" s="2">
        <v>15</v>
      </c>
      <c r="C198" s="7">
        <v>2.9</v>
      </c>
      <c r="D198" s="7">
        <v>4.3</v>
      </c>
      <c r="E198" s="7">
        <v>63.7</v>
      </c>
      <c r="F198" s="7">
        <v>1.3</v>
      </c>
      <c r="G198" s="8" t="str">
        <f t="shared" si="20"/>
        <v>&gt;4</v>
      </c>
      <c r="H198" s="6" t="str">
        <f t="shared" si="19"/>
        <v>3-4 hrs</v>
      </c>
      <c r="I198" s="8" t="str">
        <f>IF(B198&lt;=12,"&lt;=12", IF(B198&lt;=14,"13-14", IF(B198&lt;=16,"15-16","17+")))</f>
        <v>15-16</v>
      </c>
      <c r="J198" t="str">
        <f t="shared" si="21"/>
        <v>4-6 hrs</v>
      </c>
    </row>
    <row r="199" spans="1:10">
      <c r="A199" s="6">
        <v>198</v>
      </c>
      <c r="B199" s="2">
        <v>13</v>
      </c>
      <c r="C199" s="7">
        <v>2.4</v>
      </c>
      <c r="D199" s="7">
        <v>5.3</v>
      </c>
      <c r="E199" s="7">
        <v>82.5</v>
      </c>
      <c r="F199" s="7">
        <v>1</v>
      </c>
      <c r="G199" s="8" t="str">
        <f t="shared" si="20"/>
        <v>&gt;4</v>
      </c>
      <c r="H199" s="6" t="str">
        <f t="shared" si="19"/>
        <v>3-4 hrs</v>
      </c>
      <c r="I199" s="8" t="str">
        <f>IF(B199&lt;=12,"&lt;=12", IF(B199&lt;=14,"13-14", IF(B199&lt;=16,"15-16","17+")))</f>
        <v>13-14</v>
      </c>
      <c r="J199" t="str">
        <f t="shared" si="21"/>
        <v>4-6 hrs</v>
      </c>
    </row>
    <row r="200" spans="1:10">
      <c r="A200" s="6">
        <v>199</v>
      </c>
      <c r="B200" s="2">
        <v>17</v>
      </c>
      <c r="C200" s="7">
        <v>2.2999999999999998</v>
      </c>
      <c r="D200" s="7">
        <v>4</v>
      </c>
      <c r="E200" s="7">
        <v>66.3</v>
      </c>
      <c r="F200" s="7">
        <v>0.7</v>
      </c>
      <c r="G200" s="8" t="str">
        <f t="shared" si="20"/>
        <v>2-D64</v>
      </c>
      <c r="H200" s="6" t="str">
        <f t="shared" si="19"/>
        <v>3-4 hrs</v>
      </c>
      <c r="I200" s="8" t="str">
        <f>IF(B200&lt;=12,"&lt;=12", IF(B200&lt;=14,"13-14", IF(B200&lt;=16,"15-16","17+")))</f>
        <v>17+</v>
      </c>
      <c r="J200" t="str">
        <f t="shared" si="21"/>
        <v>2-4 hrs</v>
      </c>
    </row>
    <row r="201" spans="1:10">
      <c r="A201" s="6">
        <v>200</v>
      </c>
      <c r="B201" s="2">
        <v>16</v>
      </c>
      <c r="C201" s="7">
        <v>4.5</v>
      </c>
      <c r="D201" s="7">
        <v>1.5</v>
      </c>
      <c r="E201" s="7">
        <v>74.7</v>
      </c>
      <c r="F201" s="7">
        <v>1.6</v>
      </c>
      <c r="G201" s="8" t="str">
        <f t="shared" si="20"/>
        <v>0-2</v>
      </c>
      <c r="H201" s="6" t="str">
        <f t="shared" si="19"/>
        <v>5-6 hrs</v>
      </c>
      <c r="I201" s="8" t="str">
        <f>IF(B201&lt;=12,"&lt;=12", IF(B201&lt;=14,"13-14", IF(B201&lt;=16,"15-16","17+")))</f>
        <v>15-16</v>
      </c>
      <c r="J201" t="str">
        <f t="shared" si="21"/>
        <v>0-2 hrs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N14" sqref="N14"/>
    </sheetView>
  </sheetViews>
  <sheetFormatPr defaultRowHeight="14.4"/>
  <cols>
    <col min="1" max="1" width="12.5546875" customWidth="1"/>
    <col min="2" max="2" width="20.6640625" customWidth="1"/>
    <col min="3" max="3" width="17.88671875" customWidth="1"/>
    <col min="4" max="11" width="4.5546875" customWidth="1"/>
    <col min="12" max="12" width="5" customWidth="1"/>
    <col min="13" max="14" width="4.5546875" customWidth="1"/>
    <col min="15" max="18" width="5" customWidth="1"/>
    <col min="19" max="20" width="4.5546875" customWidth="1"/>
    <col min="21" max="22" width="5" customWidth="1"/>
    <col min="23" max="34" width="4.5546875" customWidth="1"/>
    <col min="35" max="35" width="10.77734375" bestFit="1" customWidth="1"/>
  </cols>
  <sheetData>
    <row r="1" spans="1:3">
      <c r="A1" t="s">
        <v>22</v>
      </c>
    </row>
    <row r="3" spans="1:3">
      <c r="A3" s="10" t="s">
        <v>13</v>
      </c>
      <c r="B3" t="s">
        <v>18</v>
      </c>
    </row>
    <row r="4" spans="1:3">
      <c r="A4" s="17" t="s">
        <v>14</v>
      </c>
      <c r="B4" s="18">
        <v>69.662686567164187</v>
      </c>
    </row>
    <row r="5" spans="1:3">
      <c r="A5" s="17" t="s">
        <v>15</v>
      </c>
      <c r="B5" s="18">
        <v>67.578448275862058</v>
      </c>
    </row>
    <row r="6" spans="1:3">
      <c r="A6" s="17" t="s">
        <v>16</v>
      </c>
      <c r="B6" s="18">
        <v>73.594117647058837</v>
      </c>
    </row>
    <row r="7" spans="1:3">
      <c r="A7" s="11" t="s">
        <v>17</v>
      </c>
      <c r="B7" s="9">
        <v>68.788000000000039</v>
      </c>
    </row>
    <row r="8" spans="1:3">
      <c r="A8" t="s">
        <v>23</v>
      </c>
    </row>
    <row r="10" spans="1:3">
      <c r="B10" s="10" t="s">
        <v>19</v>
      </c>
    </row>
    <row r="11" spans="1:3">
      <c r="A11" s="10" t="s">
        <v>13</v>
      </c>
      <c r="B11" t="s">
        <v>20</v>
      </c>
      <c r="C11" t="s">
        <v>21</v>
      </c>
    </row>
    <row r="12" spans="1:3">
      <c r="A12" s="13" t="s">
        <v>14</v>
      </c>
      <c r="B12" s="14">
        <v>100.3</v>
      </c>
      <c r="C12" s="14">
        <v>67</v>
      </c>
    </row>
    <row r="13" spans="1:3">
      <c r="A13" s="13" t="s">
        <v>15</v>
      </c>
      <c r="B13" s="14">
        <v>181.10000000000008</v>
      </c>
      <c r="C13" s="14">
        <v>116</v>
      </c>
    </row>
    <row r="14" spans="1:3">
      <c r="A14" s="13" t="s">
        <v>16</v>
      </c>
      <c r="B14" s="14">
        <v>26.5</v>
      </c>
      <c r="C14" s="14">
        <v>17</v>
      </c>
    </row>
    <row r="15" spans="1:3">
      <c r="A15" s="11" t="s">
        <v>17</v>
      </c>
      <c r="B15" s="9">
        <v>307.90000000000003</v>
      </c>
      <c r="C15" s="9">
        <v>200</v>
      </c>
    </row>
    <row r="18" spans="1:2">
      <c r="A18" t="s">
        <v>24</v>
      </c>
    </row>
    <row r="20" spans="1:2">
      <c r="A20" s="10" t="s">
        <v>13</v>
      </c>
      <c r="B20" t="s">
        <v>18</v>
      </c>
    </row>
    <row r="21" spans="1:2">
      <c r="A21" s="15">
        <v>13</v>
      </c>
      <c r="B21" s="16">
        <v>71.955813953488374</v>
      </c>
    </row>
    <row r="22" spans="1:2">
      <c r="A22" s="15">
        <v>14</v>
      </c>
      <c r="B22" s="16">
        <v>62.457142857142856</v>
      </c>
    </row>
    <row r="23" spans="1:2">
      <c r="A23" s="15">
        <v>15</v>
      </c>
      <c r="B23" s="16">
        <v>70.959459459459453</v>
      </c>
    </row>
    <row r="24" spans="1:2">
      <c r="A24" s="15">
        <v>16</v>
      </c>
      <c r="B24" s="16">
        <v>70.591836734693871</v>
      </c>
    </row>
    <row r="25" spans="1:2">
      <c r="A25" s="15">
        <v>17</v>
      </c>
      <c r="B25" s="16">
        <v>66.472222222222229</v>
      </c>
    </row>
    <row r="26" spans="1:2">
      <c r="A26" s="12" t="s">
        <v>17</v>
      </c>
      <c r="B26" s="9">
        <v>68.788000000000025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topLeftCell="A16" workbookViewId="0">
      <selection activeCell="H29" sqref="H29"/>
    </sheetView>
  </sheetViews>
  <sheetFormatPr defaultRowHeight="14.4"/>
  <cols>
    <col min="1" max="1" width="12.5546875" customWidth="1"/>
    <col min="2" max="2" width="17.5546875" bestFit="1" customWidth="1"/>
    <col min="4" max="4" width="11.21875" customWidth="1"/>
  </cols>
  <sheetData>
    <row r="1" spans="1:5">
      <c r="A1" t="s">
        <v>30</v>
      </c>
      <c r="E1" t="s">
        <v>31</v>
      </c>
    </row>
    <row r="3" spans="1:5">
      <c r="A3" s="10" t="s">
        <v>13</v>
      </c>
      <c r="B3" t="s">
        <v>12</v>
      </c>
    </row>
    <row r="4" spans="1:5">
      <c r="A4" s="11" t="s">
        <v>14</v>
      </c>
      <c r="B4" s="9">
        <v>1965</v>
      </c>
    </row>
    <row r="5" spans="1:5">
      <c r="A5" s="11" t="s">
        <v>26</v>
      </c>
      <c r="B5" s="9">
        <v>4758.7000000000007</v>
      </c>
    </row>
    <row r="6" spans="1:5">
      <c r="A6" s="11" t="s">
        <v>27</v>
      </c>
      <c r="B6" s="9">
        <v>5470.1</v>
      </c>
    </row>
    <row r="7" spans="1:5">
      <c r="A7" s="11" t="s">
        <v>28</v>
      </c>
      <c r="B7" s="9">
        <v>1563.8000000000002</v>
      </c>
    </row>
    <row r="8" spans="1:5">
      <c r="A8" s="11" t="s">
        <v>17</v>
      </c>
      <c r="B8" s="9">
        <v>13757.600000000002</v>
      </c>
    </row>
    <row r="21" spans="1:1">
      <c r="A21" t="s">
        <v>29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student_screen_time_raw</vt:lpstr>
      <vt:lpstr>Data_Cleaning</vt:lpstr>
      <vt:lpstr>povite table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2025-09-12T11:19:55Z</dcterms:created>
  <dcterms:modified xsi:type="dcterms:W3CDTF">2025-09-12T12:22:49Z</dcterms:modified>
</cp:coreProperties>
</file>